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slicers/slicer1.xml" ContentType="application/vnd.ms-excel.slicer+xml"/>
  <Override PartName="/xl/charts/chartEx3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4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ULIO\Desktop\PORTAFOLIO DA\Finanzas-Personales\"/>
    </mc:Choice>
  </mc:AlternateContent>
  <xr:revisionPtr revIDLastSave="0" documentId="13_ncr:1_{21D9A17F-5FD5-4285-A0E7-EA8CC92FA790}" xr6:coauthVersionLast="47" xr6:coauthVersionMax="47" xr10:uidLastSave="{00000000-0000-0000-0000-000000000000}"/>
  <bookViews>
    <workbookView xWindow="-120" yWindow="-120" windowWidth="29040" windowHeight="15840" firstSheet="2" activeTab="4" xr2:uid="{1E0E8EC0-67F6-456F-AE86-E8E0D18A10F0}"/>
  </bookViews>
  <sheets>
    <sheet name="BD" sheetId="1" r:id="rId1"/>
    <sheet name="OPCIONES" sheetId="2" r:id="rId2"/>
    <sheet name="INTER" sheetId="3" r:id="rId3"/>
    <sheet name="DSB" sheetId="4" r:id="rId4"/>
    <sheet name="FORM" sheetId="5" r:id="rId5"/>
  </sheets>
  <definedNames>
    <definedName name="_xlchart.v1.0" hidden="1">INTER!$K$45:$K$53</definedName>
    <definedName name="_xlchart.v1.1" hidden="1">INTER!$L$45:$L$53</definedName>
    <definedName name="_xlchart.v1.10" hidden="1">INTER!$I$9:$I$13</definedName>
    <definedName name="_xlchart.v1.11" hidden="1">INTER!$J$9:$J$13</definedName>
    <definedName name="_xlchart.v1.2" hidden="1">INTER!$I$9:$I$13</definedName>
    <definedName name="_xlchart.v1.3" hidden="1">INTER!$I$9:$I$14</definedName>
    <definedName name="_xlchart.v1.4" hidden="1">INTER!$J$9:$J$13</definedName>
    <definedName name="_xlchart.v1.5" hidden="1">INTER!$J$9:$J$14</definedName>
    <definedName name="_xlchart.v1.6" hidden="1">INTER!$I$9:$I$13</definedName>
    <definedName name="_xlchart.v1.7" hidden="1">INTER!$J$9:$J$13</definedName>
    <definedName name="_xlchart.v1.8" hidden="1">INTER!$K$45:$K$53</definedName>
    <definedName name="_xlchart.v1.9" hidden="1">INTER!$L$45:$L$53</definedName>
    <definedName name="_xlcn.WorksheetConnection_FinanzasPersonales.xlsmBD1" hidden="1">BD[]</definedName>
    <definedName name="CUENTA" localSheetId="4">T_CUENTA[CUENTA]</definedName>
    <definedName name="CUENTA">T_CUENTA[CUENTA]</definedName>
    <definedName name="DIVERSION" localSheetId="4">T_DIVERSION[DIVERSIÓN]</definedName>
    <definedName name="DIVERSION">T_DIVERSION[DIVERSIÓN]</definedName>
    <definedName name="EDUCACION" localSheetId="4">T_EDUCACION[EDUCACIÓN]</definedName>
    <definedName name="EDUCACION">T_EDUCACION[EDUCACIÓN]</definedName>
    <definedName name="EGRESO" localSheetId="4">T_EGRESO[EGRESO]</definedName>
    <definedName name="EGRESO">T_EGRESO[EGRESO]</definedName>
    <definedName name="GASTOS_FIJOS" localSheetId="4">T_GASTOS_FIJOS[GASTOS_FIJOS]</definedName>
    <definedName name="GASTOS_FIJOS">T_GASTOS_FIJOS[GASTOS_FIJOS]</definedName>
    <definedName name="GASTOS_PERSONALES" localSheetId="4">T_GASTOS_PERSONALES[GASTOS_PERSONALES]</definedName>
    <definedName name="GASTOS_PERSONALES">T_GASTOS_PERSONALES[GASTOS_PERSONALES]</definedName>
    <definedName name="INGRESO" localSheetId="4">T_INGRESO[INGRESO]</definedName>
    <definedName name="INGRESO">T_INGRESO[INGRESO]</definedName>
    <definedName name="SegmentaciónDeDatos_mes_corto">#N/A</definedName>
    <definedName name="SUBCUENTA">T_SUBCUENTA[SUBCUENTA]</definedName>
    <definedName name="TIPO" localSheetId="4">T_TIPO[TIPO]</definedName>
    <definedName name="TIPO">T_TIPO[TIPO]</definedName>
    <definedName name="TRABAJO" localSheetId="4">T_TRABAJO[TRABAJO]</definedName>
    <definedName name="TRABAJO">T_TRABAJO[TRABAJO]</definedName>
  </definedNames>
  <calcPr calcId="191029"/>
  <pivotCaches>
    <pivotCache cacheId="0" r:id="rId6"/>
    <pivotCache cacheId="1" r:id="rId7"/>
    <pivotCache cacheId="2" r:id="rId8"/>
    <pivotCache cacheId="3" r:id="rId9"/>
    <pivotCache cacheId="4" r:id="rId10"/>
    <pivotCache cacheId="5" r:id="rId11"/>
    <pivotCache cacheId="6" r:id="rId12"/>
  </pivotCaches>
  <extLst>
    <ext xmlns:x14="http://schemas.microsoft.com/office/spreadsheetml/2009/9/main" uri="{876F7934-8845-4945-9796-88D515C7AA90}">
      <x14:pivotCaches>
        <pivotCache cacheId="7" r:id="rId13"/>
      </x14:pivotCaches>
    </ext>
    <ext xmlns:x14="http://schemas.microsoft.com/office/spreadsheetml/2009/9/main" uri="{BBE1A952-AA13-448e-AADC-164F8A28A991}">
      <x14:slicerCaches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BD" name="BD" connection="WorksheetConnection_Finanzas Personales.xlsm!BD"/>
          <x15:modelTable id="Calendar" name="Calendar" connection="Conexión1"/>
        </x15:modelTables>
        <x15:modelRelationships>
          <x15:modelRelationship fromTable="BD" fromColumn="FECHA" toTable="Calendar" toColumn="Da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3" i="5" l="1"/>
  <c r="I33" i="5" s="1"/>
  <c r="Q33" i="5"/>
  <c r="P33" i="5"/>
  <c r="O33" i="5"/>
  <c r="N33" i="5"/>
  <c r="M33" i="5"/>
  <c r="L33" i="5"/>
  <c r="H33" i="5"/>
  <c r="G33" i="5"/>
  <c r="F33" i="5"/>
  <c r="E33" i="5"/>
  <c r="D33" i="5"/>
  <c r="M8" i="3"/>
  <c r="M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E5E071F-426A-4BFE-9AEC-91C8FA18AB38}" name="Conexión1" type="104" refreshedVersion="0" background="1">
    <extLst>
      <ext xmlns:x15="http://schemas.microsoft.com/office/spreadsheetml/2010/11/main" uri="{DE250136-89BD-433C-8126-D09CA5730AF9}">
        <x15:connection id="Calendar"/>
      </ext>
    </extLst>
  </connection>
  <connection id="2" xr16:uid="{83A62778-CA7C-4148-B04F-1C3B9DA04A7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228B24BE-25C6-42EC-BD7E-3984947138C6}" name="WorksheetConnection_Finanzas Personales.xlsm!BD" type="102" refreshedVersion="8" minRefreshableVersion="5">
    <extLst>
      <ext xmlns:x15="http://schemas.microsoft.com/office/spreadsheetml/2010/11/main" uri="{DE250136-89BD-433C-8126-D09CA5730AF9}">
        <x15:connection id="BD">
          <x15:rangePr sourceName="_xlcn.WorksheetConnection_FinanzasPersonales.xlsmBD1"/>
        </x15:connection>
      </ext>
    </extLst>
  </connection>
</connections>
</file>

<file path=xl/sharedStrings.xml><?xml version="1.0" encoding="utf-8"?>
<sst xmlns="http://schemas.openxmlformats.org/spreadsheetml/2006/main" count="976" uniqueCount="51">
  <si>
    <t>TIPO</t>
  </si>
  <si>
    <t>CUENTA</t>
  </si>
  <si>
    <t>SUBCUENTA</t>
  </si>
  <si>
    <t>MOTIVO</t>
  </si>
  <si>
    <t>MONTO</t>
  </si>
  <si>
    <t>FECHA</t>
  </si>
  <si>
    <t>INGRESO</t>
  </si>
  <si>
    <t>BCP</t>
  </si>
  <si>
    <t>GASTOS_FIJOS</t>
  </si>
  <si>
    <t>GASTOS_PERSONALES</t>
  </si>
  <si>
    <t>DIVERSIÓN</t>
  </si>
  <si>
    <t>EDUCACIÓN</t>
  </si>
  <si>
    <t>JUGOS</t>
  </si>
  <si>
    <t>SALIDAS</t>
  </si>
  <si>
    <t>GASTOS HORMIGA</t>
  </si>
  <si>
    <t>VIAJES</t>
  </si>
  <si>
    <t>VERANITO</t>
  </si>
  <si>
    <t>SUELDO</t>
  </si>
  <si>
    <t>EGRESO</t>
  </si>
  <si>
    <t>EFECTIVO</t>
  </si>
  <si>
    <t>INTERBANK</t>
  </si>
  <si>
    <t>TRABAJO</t>
  </si>
  <si>
    <t>ALMUERZO</t>
  </si>
  <si>
    <t>UTP</t>
  </si>
  <si>
    <t>CURSOS</t>
  </si>
  <si>
    <t>CACHUELOS</t>
  </si>
  <si>
    <t xml:space="preserve">AHORRA </t>
  </si>
  <si>
    <t xml:space="preserve">BCP </t>
  </si>
  <si>
    <t>CACHUELO</t>
  </si>
  <si>
    <t>GASTOS HORMIGAS</t>
  </si>
  <si>
    <t>TOTAL_INGRESO</t>
  </si>
  <si>
    <t>TOTAL_EGRESO</t>
  </si>
  <si>
    <t>SALDO</t>
  </si>
  <si>
    <t>Etiquetas de fila</t>
  </si>
  <si>
    <t>abr</t>
  </si>
  <si>
    <t>ago</t>
  </si>
  <si>
    <t>ene</t>
  </si>
  <si>
    <t>feb</t>
  </si>
  <si>
    <t>jul</t>
  </si>
  <si>
    <t>jun</t>
  </si>
  <si>
    <t>mar</t>
  </si>
  <si>
    <t>Total general</t>
  </si>
  <si>
    <t/>
  </si>
  <si>
    <t>REGISTRO DE EGRESOS</t>
  </si>
  <si>
    <t>REGISTRO DE INGRESOS</t>
  </si>
  <si>
    <t>DIVERSION</t>
  </si>
  <si>
    <t>EDUCACION</t>
  </si>
  <si>
    <t>ULTIMO GASTO</t>
  </si>
  <si>
    <t>ULTIMO INGRESO</t>
  </si>
  <si>
    <t xml:space="preserve">CUENTA </t>
  </si>
  <si>
    <t>Suma de MONTO_MOD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</si>
</sst>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??_-;_-@_-"/>
    <numFmt numFmtId="165" formatCode="[$S/-280A]\ #,##0.00"/>
    <numFmt numFmtId="166" formatCode="[$S/-280A]\ #,\k"/>
  </numFmts>
  <fonts count="2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164" fontId="0" fillId="0" borderId="0" xfId="0" applyNumberFormat="1"/>
    <xf numFmtId="0" fontId="0" fillId="2" borderId="1" xfId="0" applyFill="1" applyBorder="1"/>
    <xf numFmtId="0" fontId="0" fillId="0" borderId="1" xfId="0" applyBorder="1" applyAlignment="1">
      <alignment horizontal="left"/>
    </xf>
    <xf numFmtId="0" fontId="0" fillId="0" borderId="1" xfId="0" applyNumberFormat="1" applyBorder="1"/>
    <xf numFmtId="0" fontId="0" fillId="0" borderId="0" xfId="0" applyFill="1"/>
    <xf numFmtId="0" fontId="0" fillId="0" borderId="1" xfId="0" applyFill="1" applyBorder="1"/>
    <xf numFmtId="14" fontId="0" fillId="0" borderId="1" xfId="0" applyNumberFormat="1" applyFill="1" applyBorder="1"/>
    <xf numFmtId="165" fontId="0" fillId="0" borderId="0" xfId="0" applyNumberFormat="1"/>
    <xf numFmtId="166" fontId="0" fillId="0" borderId="0" xfId="0" applyNumberFormat="1"/>
    <xf numFmtId="0" fontId="1" fillId="0" borderId="0" xfId="0" applyFont="1" applyFill="1"/>
    <xf numFmtId="0" fontId="1" fillId="0" borderId="0" xfId="0" applyFont="1" applyFill="1" applyBorder="1"/>
    <xf numFmtId="165" fontId="0" fillId="0" borderId="1" xfId="0" applyNumberFormat="1" applyFill="1" applyBorder="1"/>
    <xf numFmtId="165" fontId="1" fillId="0" borderId="0" xfId="0" applyNumberFormat="1" applyFont="1" applyFill="1"/>
    <xf numFmtId="0" fontId="0" fillId="4" borderId="0" xfId="0" applyFill="1"/>
    <xf numFmtId="0" fontId="0" fillId="5" borderId="0" xfId="0" applyFill="1"/>
  </cellXfs>
  <cellStyles count="1">
    <cellStyle name="Normal" xfId="0" builtinId="0"/>
  </cellStyles>
  <dxfs count="12">
    <dxf>
      <numFmt numFmtId="164" formatCode="_-* #,##0_-;\-* #,##0_-;_-* &quot;-&quot;??_-;_-@_-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numFmt numFmtId="166" formatCode="[$S/-280A]\ #,\k"/>
    </dxf>
    <dxf>
      <numFmt numFmtId="167" formatCode="[$S/-280A]\ #,##0"/>
    </dxf>
    <dxf>
      <numFmt numFmtId="19" formatCode="dd/mm/yyyy"/>
    </dxf>
    <dxf>
      <numFmt numFmtId="165" formatCode="[$S/-280A]\ 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2.xml"/><Relationship Id="rId47" Type="http://schemas.microsoft.com/office/2006/relationships/vbaProject" Target="vbaProject.bin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ivotCacheDefinition" Target="pivotCache/pivotCacheDefinition6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openxmlformats.org/officeDocument/2006/relationships/customXml" Target="../customXml/item20.xml"/><Relationship Id="rId45" Type="http://schemas.openxmlformats.org/officeDocument/2006/relationships/customXml" Target="../customXml/item25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pivotCacheDefinition" Target="pivotCache/pivotCacheDefinition5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4" Type="http://schemas.openxmlformats.org/officeDocument/2006/relationships/customXml" Target="../customXml/item2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7/relationships/slicerCache" Target="slicerCaches/slicerCache1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3.xml"/><Relationship Id="rId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46" Type="http://schemas.openxmlformats.org/officeDocument/2006/relationships/customXml" Target="../customXml/item26.xml"/><Relationship Id="rId20" Type="http://schemas.openxmlformats.org/officeDocument/2006/relationships/calcChain" Target="calcChain.xml"/><Relationship Id="rId41" Type="http://schemas.openxmlformats.org/officeDocument/2006/relationships/customXml" Target="../customXml/item2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[Finanzas Personales.xlsm]INTER!TablaDinámica2</c:name>
    <c:fmtId val="11"/>
  </c:pivotSource>
  <c:chart>
    <c:autoTitleDeleted val="0"/>
    <c:pivotFmts>
      <c:pivotFmt>
        <c:idx val="0"/>
        <c:spPr>
          <a:ln w="28575" cap="rnd">
            <a:solidFill>
              <a:schemeClr val="tx2">
                <a:lumMod val="50000"/>
                <a:lumOff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2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1803149606299206E-2"/>
          <c:y val="5.0925925925925923E-2"/>
          <c:w val="0.84547375328083996"/>
          <c:h val="0.84204505686789155"/>
        </c:manualLayout>
      </c:layout>
      <c:lineChart>
        <c:grouping val="standard"/>
        <c:varyColors val="0"/>
        <c:ser>
          <c:idx val="0"/>
          <c:order val="0"/>
          <c:tx>
            <c:strRef>
              <c:f>INTER!$F$1</c:f>
              <c:strCache>
                <c:ptCount val="1"/>
                <c:pt idx="0">
                  <c:v>TOTAL_INGRESO</c:v>
                </c:pt>
              </c:strCache>
            </c:strRef>
          </c:tx>
          <c:spPr>
            <a:ln w="28575" cap="rnd">
              <a:solidFill>
                <a:schemeClr val="tx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INTER!$E$2:$E$9</c:f>
              <c:strCache>
                <c:ptCount val="7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jun</c:v>
                </c:pt>
                <c:pt idx="5">
                  <c:v>jul</c:v>
                </c:pt>
                <c:pt idx="6">
                  <c:v>ago</c:v>
                </c:pt>
              </c:strCache>
            </c:strRef>
          </c:cat>
          <c:val>
            <c:numRef>
              <c:f>INTER!$F$2:$F$9</c:f>
              <c:numCache>
                <c:formatCode>General</c:formatCode>
                <c:ptCount val="7"/>
                <c:pt idx="0">
                  <c:v>5663</c:v>
                </c:pt>
                <c:pt idx="1">
                  <c:v>3000</c:v>
                </c:pt>
                <c:pt idx="2">
                  <c:v>1545</c:v>
                </c:pt>
                <c:pt idx="3">
                  <c:v>2080.12</c:v>
                </c:pt>
                <c:pt idx="4">
                  <c:v>1200</c:v>
                </c:pt>
                <c:pt idx="5">
                  <c:v>1843.3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D2C-45BB-8E03-2159792F95B7}"/>
            </c:ext>
          </c:extLst>
        </c:ser>
        <c:ser>
          <c:idx val="1"/>
          <c:order val="1"/>
          <c:tx>
            <c:strRef>
              <c:f>INTER!$G$1</c:f>
              <c:strCache>
                <c:ptCount val="1"/>
                <c:pt idx="0">
                  <c:v>TOTAL_EGRESO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INTER!$E$2:$E$9</c:f>
              <c:strCache>
                <c:ptCount val="7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jun</c:v>
                </c:pt>
                <c:pt idx="5">
                  <c:v>jul</c:v>
                </c:pt>
                <c:pt idx="6">
                  <c:v>ago</c:v>
                </c:pt>
              </c:strCache>
            </c:strRef>
          </c:cat>
          <c:val>
            <c:numRef>
              <c:f>INTER!$G$2:$G$9</c:f>
              <c:numCache>
                <c:formatCode>General</c:formatCode>
                <c:ptCount val="7"/>
                <c:pt idx="0">
                  <c:v>3135</c:v>
                </c:pt>
                <c:pt idx="1">
                  <c:v>1133.5</c:v>
                </c:pt>
                <c:pt idx="2">
                  <c:v>963</c:v>
                </c:pt>
                <c:pt idx="3">
                  <c:v>1872.25</c:v>
                </c:pt>
                <c:pt idx="4">
                  <c:v>1376.8</c:v>
                </c:pt>
                <c:pt idx="5">
                  <c:v>419.31</c:v>
                </c:pt>
                <c:pt idx="6">
                  <c:v>500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D2C-45BB-8E03-2159792F9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6190576"/>
        <c:axId val="736201616"/>
      </c:lineChart>
      <c:catAx>
        <c:axId val="73619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36201616"/>
        <c:crosses val="autoZero"/>
        <c:auto val="1"/>
        <c:lblAlgn val="ctr"/>
        <c:lblOffset val="100"/>
        <c:noMultiLvlLbl val="0"/>
      </c:catAx>
      <c:valAx>
        <c:axId val="7362016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3619057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65949912510936137"/>
          <c:y val="0.14872630504520268"/>
          <c:w val="0.25161198600174978"/>
          <c:h val="0.156251093613298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[Finanzas Personales.xlsm]INTER!TablaDinámica2</c:name>
    <c:fmtId val="13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tx2">
                <a:lumMod val="50000"/>
                <a:lumOff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2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tx2">
                <a:lumMod val="50000"/>
                <a:lumOff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2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tx2">
                <a:lumMod val="50000"/>
                <a:lumOff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2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1803178727596538E-2"/>
          <c:y val="4.3661240259524815E-2"/>
          <c:w val="0.84547375328083996"/>
          <c:h val="0.78392534142432035"/>
        </c:manualLayout>
      </c:layout>
      <c:lineChart>
        <c:grouping val="standard"/>
        <c:varyColors val="0"/>
        <c:ser>
          <c:idx val="0"/>
          <c:order val="0"/>
          <c:tx>
            <c:strRef>
              <c:f>INTER!$F$1</c:f>
              <c:strCache>
                <c:ptCount val="1"/>
                <c:pt idx="0">
                  <c:v>TOTAL_INGRESO</c:v>
                </c:pt>
              </c:strCache>
            </c:strRef>
          </c:tx>
          <c:spPr>
            <a:ln w="28575" cap="rnd">
              <a:solidFill>
                <a:schemeClr val="tx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INTER!$E$2:$E$9</c:f>
              <c:strCache>
                <c:ptCount val="7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jun</c:v>
                </c:pt>
                <c:pt idx="5">
                  <c:v>jul</c:v>
                </c:pt>
                <c:pt idx="6">
                  <c:v>ago</c:v>
                </c:pt>
              </c:strCache>
            </c:strRef>
          </c:cat>
          <c:val>
            <c:numRef>
              <c:f>INTER!$F$2:$F$9</c:f>
              <c:numCache>
                <c:formatCode>General</c:formatCode>
                <c:ptCount val="7"/>
                <c:pt idx="0">
                  <c:v>5663</c:v>
                </c:pt>
                <c:pt idx="1">
                  <c:v>3000</c:v>
                </c:pt>
                <c:pt idx="2">
                  <c:v>1545</c:v>
                </c:pt>
                <c:pt idx="3">
                  <c:v>2080.12</c:v>
                </c:pt>
                <c:pt idx="4">
                  <c:v>1200</c:v>
                </c:pt>
                <c:pt idx="5">
                  <c:v>1843.3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08B-4187-AFFE-A5156370732E}"/>
            </c:ext>
          </c:extLst>
        </c:ser>
        <c:ser>
          <c:idx val="1"/>
          <c:order val="1"/>
          <c:tx>
            <c:strRef>
              <c:f>INTER!$G$1</c:f>
              <c:strCache>
                <c:ptCount val="1"/>
                <c:pt idx="0">
                  <c:v>TOTAL_EGRESO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INTER!$E$2:$E$9</c:f>
              <c:strCache>
                <c:ptCount val="7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jun</c:v>
                </c:pt>
                <c:pt idx="5">
                  <c:v>jul</c:v>
                </c:pt>
                <c:pt idx="6">
                  <c:v>ago</c:v>
                </c:pt>
              </c:strCache>
            </c:strRef>
          </c:cat>
          <c:val>
            <c:numRef>
              <c:f>INTER!$G$2:$G$9</c:f>
              <c:numCache>
                <c:formatCode>General</c:formatCode>
                <c:ptCount val="7"/>
                <c:pt idx="0">
                  <c:v>3135</c:v>
                </c:pt>
                <c:pt idx="1">
                  <c:v>1133.5</c:v>
                </c:pt>
                <c:pt idx="2">
                  <c:v>963</c:v>
                </c:pt>
                <c:pt idx="3">
                  <c:v>1872.25</c:v>
                </c:pt>
                <c:pt idx="4">
                  <c:v>1376.8</c:v>
                </c:pt>
                <c:pt idx="5">
                  <c:v>419.31</c:v>
                </c:pt>
                <c:pt idx="6">
                  <c:v>500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08B-4187-AFFE-A51563707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6190576"/>
        <c:axId val="736201616"/>
      </c:lineChart>
      <c:catAx>
        <c:axId val="73619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36201616"/>
        <c:crosses val="autoZero"/>
        <c:auto val="1"/>
        <c:lblAlgn val="ctr"/>
        <c:lblOffset val="100"/>
        <c:noMultiLvlLbl val="0"/>
      </c:catAx>
      <c:valAx>
        <c:axId val="7362016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3619057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65949912510936137"/>
          <c:y val="0.14872630504520268"/>
          <c:w val="0.25161198600174978"/>
          <c:h val="0.156251093613298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size">
        <cx:f>_xlchart.v1.5</cx:f>
      </cx:numDim>
    </cx:data>
  </cx:chartData>
  <cx:chart>
    <cx:plotArea>
      <cx:plotAreaRegion>
        <cx:series layoutId="treemap" uniqueId="{BAA8FB32-925F-4D71-A16D-17A51309CAD2}">
          <cx:dataLabels>
            <cx:visibility seriesName="0" categoryName="1" value="1"/>
            <cx:separator>
</cx:separator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plotArea>
      <cx:plotAreaRegion>
        <cx:series layoutId="waterfall" uniqueId="{E1DB9701-3C01-4721-8099-F9A3928C9A90}">
          <cx:dataLabels pos="outEnd">
            <cx:visibility seriesName="0" categoryName="0" value="1"/>
          </cx:dataLabels>
          <cx:dataId val="0"/>
          <cx:layoutPr>
            <cx:subtotals>
              <cx:idx val="8"/>
            </cx:subtotals>
          </cx:layoutPr>
        </cx:series>
      </cx:plotAreaRegion>
      <cx:axis id="0">
        <cx:catScaling gapWidth="0.5"/>
        <cx:tickLabels/>
      </cx:axis>
      <cx:axis id="1" hidden="1">
        <cx:valScaling/>
        <cx:tickLabels/>
      </cx:axis>
    </cx:plotArea>
    <cx:legend pos="t" align="ctr" overlay="0"/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size">
        <cx:f>_xlchart.v1.7</cx:f>
      </cx:numDim>
    </cx:data>
  </cx:chartData>
  <cx:chart>
    <cx:plotArea>
      <cx:plotAreaRegion>
        <cx:series layoutId="treemap" uniqueId="{BAA8FB32-925F-4D71-A16D-17A51309CAD2}">
          <cx:dataLabels>
            <cx:visibility seriesName="0" categoryName="1" value="1"/>
            <cx:separator>
</cx:separator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_xlchart.v1.8</cx:f>
      </cx:strDim>
      <cx:numDim type="val">
        <cx:f>_xlchart.v1.9</cx:f>
      </cx:numDim>
    </cx:data>
  </cx:chartData>
  <cx:chart>
    <cx:plotArea>
      <cx:plotAreaRegion>
        <cx:series layoutId="waterfall" uniqueId="{E1DB9701-3C01-4721-8099-F9A3928C9A90}">
          <cx:spPr>
            <a:solidFill>
              <a:schemeClr val="accent2">
                <a:lumMod val="75000"/>
              </a:schemeClr>
            </a:solidFill>
          </cx:spPr>
          <cx:dataPt idx="0">
            <cx:spPr>
              <a:solidFill>
                <a:srgbClr val="156082">
                  <a:lumMod val="60000"/>
                  <a:lumOff val="40000"/>
                </a:srgbClr>
              </a:solidFill>
            </cx:spPr>
          </cx:dataPt>
          <cx:dataPt idx="1">
            <cx:spPr>
              <a:solidFill>
                <a:srgbClr val="156082">
                  <a:lumMod val="60000"/>
                  <a:lumOff val="40000"/>
                </a:srgbClr>
              </a:solidFill>
            </cx:spPr>
          </cx:dataPt>
          <cx:dataPt idx="8">
            <cx:spPr>
              <a:solidFill>
                <a:srgbClr val="4EA72E">
                  <a:lumMod val="60000"/>
                  <a:lumOff val="40000"/>
                </a:srgb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8"/>
            </cx:subtotals>
          </cx:layoutPr>
        </cx:series>
      </cx:plotAreaRegion>
      <cx:axis id="0">
        <cx:catScaling gapWidth="0.5"/>
        <cx:tickLabels/>
      </cx:axis>
      <cx:axis id="1" hidden="1">
        <cx:valScaling/>
        <cx:tickLabels/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14/relationships/chartEx" Target="../charts/chartEx4.xml"/><Relationship Id="rId3" Type="http://schemas.openxmlformats.org/officeDocument/2006/relationships/image" Target="../media/image3.png"/><Relationship Id="rId7" Type="http://schemas.microsoft.com/office/2014/relationships/chartEx" Target="../charts/chartEx3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FORM!A1"/><Relationship Id="rId5" Type="http://schemas.openxmlformats.org/officeDocument/2006/relationships/hyperlink" Target="#DSB!A1"/><Relationship Id="rId4" Type="http://schemas.openxmlformats.org/officeDocument/2006/relationships/image" Target="../media/image4.png"/><Relationship Id="rId9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hyperlink" Target="#FORM!A1"/><Relationship Id="rId4" Type="http://schemas.openxmlformats.org/officeDocument/2006/relationships/hyperlink" Target="#DSB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14</xdr:row>
      <xdr:rowOff>166687</xdr:rowOff>
    </xdr:from>
    <xdr:to>
      <xdr:col>10</xdr:col>
      <xdr:colOff>314325</xdr:colOff>
      <xdr:row>27</xdr:row>
      <xdr:rowOff>28575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Gráfico 3">
              <a:extLst>
                <a:ext uri="{FF2B5EF4-FFF2-40B4-BE49-F238E27FC236}">
                  <a16:creationId xmlns:a16="http://schemas.microsoft.com/office/drawing/2014/main" id="{2B8285DE-BF0B-9268-FD42-FF00E60CE6D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39175" y="2833687"/>
              <a:ext cx="3200400" cy="23383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12</xdr:col>
      <xdr:colOff>413656</xdr:colOff>
      <xdr:row>39</xdr:row>
      <xdr:rowOff>80961</xdr:rowOff>
    </xdr:from>
    <xdr:to>
      <xdr:col>16</xdr:col>
      <xdr:colOff>628649</xdr:colOff>
      <xdr:row>53</xdr:row>
      <xdr:rowOff>157161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85B6B0E7-A211-6555-BE60-2D13EFE4365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358381" y="7510461"/>
              <a:ext cx="5206093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4</xdr:col>
      <xdr:colOff>13607</xdr:colOff>
      <xdr:row>12</xdr:row>
      <xdr:rowOff>84364</xdr:rowOff>
    </xdr:from>
    <xdr:to>
      <xdr:col>7</xdr:col>
      <xdr:colOff>176892</xdr:colOff>
      <xdr:row>26</xdr:row>
      <xdr:rowOff>160564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882DF1F2-C879-8B04-AA5B-8F1C99A760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152400</xdr:rowOff>
    </xdr:from>
    <xdr:to>
      <xdr:col>16</xdr:col>
      <xdr:colOff>704851</xdr:colOff>
      <xdr:row>35</xdr:row>
      <xdr:rowOff>180974</xdr:rowOff>
    </xdr:to>
    <xdr:sp macro="" textlink="">
      <xdr:nvSpPr>
        <xdr:cNvPr id="40" name="Rectángulo: esquinas redondeadas 39">
          <a:extLst>
            <a:ext uri="{FF2B5EF4-FFF2-40B4-BE49-F238E27FC236}">
              <a16:creationId xmlns:a16="http://schemas.microsoft.com/office/drawing/2014/main" id="{06B1AAA2-631C-49F7-A7E5-6AE397ED0D5C}"/>
            </a:ext>
          </a:extLst>
        </xdr:cNvPr>
        <xdr:cNvSpPr/>
      </xdr:nvSpPr>
      <xdr:spPr>
        <a:xfrm>
          <a:off x="95250" y="152400"/>
          <a:ext cx="12801601" cy="6696074"/>
        </a:xfrm>
        <a:prstGeom prst="roundRect">
          <a:avLst>
            <a:gd name="adj" fmla="val 4007"/>
          </a:avLst>
        </a:prstGeom>
        <a:solidFill>
          <a:schemeClr val="tx2">
            <a:lumMod val="90000"/>
            <a:lumOff val="1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161925</xdr:colOff>
      <xdr:row>1</xdr:row>
      <xdr:rowOff>47625</xdr:rowOff>
    </xdr:from>
    <xdr:to>
      <xdr:col>16</xdr:col>
      <xdr:colOff>657225</xdr:colOff>
      <xdr:row>7</xdr:row>
      <xdr:rowOff>38100</xdr:rowOff>
    </xdr:to>
    <xdr:sp macro="" textlink="">
      <xdr:nvSpPr>
        <xdr:cNvPr id="41" name="Rectángulo: esquinas redondeadas 40">
          <a:extLst>
            <a:ext uri="{FF2B5EF4-FFF2-40B4-BE49-F238E27FC236}">
              <a16:creationId xmlns:a16="http://schemas.microsoft.com/office/drawing/2014/main" id="{7AAF2EAE-93F5-4457-BBC4-ECADD39F8DDC}"/>
            </a:ext>
          </a:extLst>
        </xdr:cNvPr>
        <xdr:cNvSpPr/>
      </xdr:nvSpPr>
      <xdr:spPr>
        <a:xfrm>
          <a:off x="161925" y="238125"/>
          <a:ext cx="12687300" cy="113347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266700</xdr:colOff>
      <xdr:row>1</xdr:row>
      <xdr:rowOff>152400</xdr:rowOff>
    </xdr:from>
    <xdr:to>
      <xdr:col>2</xdr:col>
      <xdr:colOff>704850</xdr:colOff>
      <xdr:row>35</xdr:row>
      <xdr:rowOff>85725</xdr:rowOff>
    </xdr:to>
    <xdr:sp macro="" textlink="">
      <xdr:nvSpPr>
        <xdr:cNvPr id="42" name="Rectángulo: esquinas redondeadas 41">
          <a:extLst>
            <a:ext uri="{FF2B5EF4-FFF2-40B4-BE49-F238E27FC236}">
              <a16:creationId xmlns:a16="http://schemas.microsoft.com/office/drawing/2014/main" id="{C886281A-E9E3-4187-BCE6-6B1AC293F325}"/>
            </a:ext>
          </a:extLst>
        </xdr:cNvPr>
        <xdr:cNvSpPr/>
      </xdr:nvSpPr>
      <xdr:spPr>
        <a:xfrm>
          <a:off x="266700" y="342900"/>
          <a:ext cx="1962150" cy="6410325"/>
        </a:xfrm>
        <a:prstGeom prst="roundRect">
          <a:avLst>
            <a:gd name="adj" fmla="val 10145"/>
          </a:avLst>
        </a:prstGeom>
        <a:solidFill>
          <a:schemeClr val="tx2">
            <a:lumMod val="25000"/>
            <a:lumOff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161925</xdr:colOff>
      <xdr:row>4</xdr:row>
      <xdr:rowOff>161925</xdr:rowOff>
    </xdr:from>
    <xdr:to>
      <xdr:col>7</xdr:col>
      <xdr:colOff>104775</xdr:colOff>
      <xdr:row>10</xdr:row>
      <xdr:rowOff>95250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A48DAE11-76F5-43CA-A532-622DE1008470}"/>
            </a:ext>
          </a:extLst>
        </xdr:cNvPr>
        <xdr:cNvSpPr/>
      </xdr:nvSpPr>
      <xdr:spPr>
        <a:xfrm>
          <a:off x="2447925" y="923925"/>
          <a:ext cx="2990850" cy="107632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161925</xdr:colOff>
      <xdr:row>11</xdr:row>
      <xdr:rowOff>142875</xdr:rowOff>
    </xdr:from>
    <xdr:to>
      <xdr:col>9</xdr:col>
      <xdr:colOff>409575</xdr:colOff>
      <xdr:row>23</xdr:row>
      <xdr:rowOff>38100</xdr:rowOff>
    </xdr:to>
    <xdr:sp macro="" textlink="">
      <xdr:nvSpPr>
        <xdr:cNvPr id="44" name="Rectángulo: esquinas redondeadas 43">
          <a:extLst>
            <a:ext uri="{FF2B5EF4-FFF2-40B4-BE49-F238E27FC236}">
              <a16:creationId xmlns:a16="http://schemas.microsoft.com/office/drawing/2014/main" id="{4FA69D3F-4B5A-4277-9236-DF606DCDF812}"/>
            </a:ext>
          </a:extLst>
        </xdr:cNvPr>
        <xdr:cNvSpPr/>
      </xdr:nvSpPr>
      <xdr:spPr>
        <a:xfrm>
          <a:off x="2447925" y="2238375"/>
          <a:ext cx="4819650" cy="218122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152400</xdr:colOff>
      <xdr:row>24</xdr:row>
      <xdr:rowOff>66675</xdr:rowOff>
    </xdr:from>
    <xdr:to>
      <xdr:col>7</xdr:col>
      <xdr:colOff>142875</xdr:colOff>
      <xdr:row>34</xdr:row>
      <xdr:rowOff>76200</xdr:rowOff>
    </xdr:to>
    <xdr:sp macro="" textlink="">
      <xdr:nvSpPr>
        <xdr:cNvPr id="45" name="Rectángulo: esquinas redondeadas 44">
          <a:extLst>
            <a:ext uri="{FF2B5EF4-FFF2-40B4-BE49-F238E27FC236}">
              <a16:creationId xmlns:a16="http://schemas.microsoft.com/office/drawing/2014/main" id="{589E9F5D-9471-499D-A0FF-9698A04696A6}"/>
            </a:ext>
          </a:extLst>
        </xdr:cNvPr>
        <xdr:cNvSpPr/>
      </xdr:nvSpPr>
      <xdr:spPr>
        <a:xfrm>
          <a:off x="2438400" y="4638675"/>
          <a:ext cx="3038475" cy="191452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619125</xdr:colOff>
      <xdr:row>24</xdr:row>
      <xdr:rowOff>76200</xdr:rowOff>
    </xdr:from>
    <xdr:to>
      <xdr:col>16</xdr:col>
      <xdr:colOff>66675</xdr:colOff>
      <xdr:row>34</xdr:row>
      <xdr:rowOff>85725</xdr:rowOff>
    </xdr:to>
    <xdr:sp macro="" textlink="">
      <xdr:nvSpPr>
        <xdr:cNvPr id="46" name="Rectángulo: esquinas redondeadas 45">
          <a:extLst>
            <a:ext uri="{FF2B5EF4-FFF2-40B4-BE49-F238E27FC236}">
              <a16:creationId xmlns:a16="http://schemas.microsoft.com/office/drawing/2014/main" id="{E1BF779F-F4B4-4502-9F89-B887F135873E}"/>
            </a:ext>
          </a:extLst>
        </xdr:cNvPr>
        <xdr:cNvSpPr/>
      </xdr:nvSpPr>
      <xdr:spPr>
        <a:xfrm>
          <a:off x="5953125" y="4648200"/>
          <a:ext cx="6305550" cy="191452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723900</xdr:colOff>
      <xdr:row>11</xdr:row>
      <xdr:rowOff>123825</xdr:rowOff>
    </xdr:from>
    <xdr:to>
      <xdr:col>16</xdr:col>
      <xdr:colOff>209550</xdr:colOff>
      <xdr:row>23</xdr:row>
      <xdr:rowOff>29936</xdr:rowOff>
    </xdr:to>
    <xdr:sp macro="" textlink="">
      <xdr:nvSpPr>
        <xdr:cNvPr id="47" name="Rectángulo: esquinas redondeadas 46">
          <a:extLst>
            <a:ext uri="{FF2B5EF4-FFF2-40B4-BE49-F238E27FC236}">
              <a16:creationId xmlns:a16="http://schemas.microsoft.com/office/drawing/2014/main" id="{F0756DC4-F22F-4294-ADBE-46A6F60C1AB1}"/>
            </a:ext>
          </a:extLst>
        </xdr:cNvPr>
        <xdr:cNvSpPr/>
      </xdr:nvSpPr>
      <xdr:spPr>
        <a:xfrm>
          <a:off x="7581900" y="2219325"/>
          <a:ext cx="4819650" cy="219211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12</xdr:col>
      <xdr:colOff>514350</xdr:colOff>
      <xdr:row>4</xdr:row>
      <xdr:rowOff>180975</xdr:rowOff>
    </xdr:from>
    <xdr:to>
      <xdr:col>16</xdr:col>
      <xdr:colOff>457200</xdr:colOff>
      <xdr:row>10</xdr:row>
      <xdr:rowOff>114300</xdr:rowOff>
    </xdr:to>
    <xdr:sp macro="" textlink="">
      <xdr:nvSpPr>
        <xdr:cNvPr id="48" name="Rectángulo: esquinas redondeadas 47">
          <a:extLst>
            <a:ext uri="{FF2B5EF4-FFF2-40B4-BE49-F238E27FC236}">
              <a16:creationId xmlns:a16="http://schemas.microsoft.com/office/drawing/2014/main" id="{49A4B16F-7736-4492-B993-0128ED12ABAE}"/>
            </a:ext>
          </a:extLst>
        </xdr:cNvPr>
        <xdr:cNvSpPr/>
      </xdr:nvSpPr>
      <xdr:spPr>
        <a:xfrm>
          <a:off x="9658350" y="942975"/>
          <a:ext cx="2990850" cy="107632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695325</xdr:colOff>
      <xdr:row>5</xdr:row>
      <xdr:rowOff>0</xdr:rowOff>
    </xdr:from>
    <xdr:to>
      <xdr:col>11</xdr:col>
      <xdr:colOff>638175</xdr:colOff>
      <xdr:row>10</xdr:row>
      <xdr:rowOff>123825</xdr:rowOff>
    </xdr:to>
    <xdr:sp macro="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6D9C6D83-F5E4-A122-16FF-72AB052FEAED}"/>
            </a:ext>
          </a:extLst>
        </xdr:cNvPr>
        <xdr:cNvSpPr/>
      </xdr:nvSpPr>
      <xdr:spPr>
        <a:xfrm>
          <a:off x="6029325" y="952500"/>
          <a:ext cx="2990850" cy="107632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57150</xdr:colOff>
      <xdr:row>1</xdr:row>
      <xdr:rowOff>114300</xdr:rowOff>
    </xdr:from>
    <xdr:to>
      <xdr:col>16</xdr:col>
      <xdr:colOff>228600</xdr:colOff>
      <xdr:row>3</xdr:row>
      <xdr:rowOff>133351</xdr:rowOff>
    </xdr:to>
    <xdr:sp macro="" textlink="">
      <xdr:nvSpPr>
        <xdr:cNvPr id="51" name="Rectángulo 50">
          <a:extLst>
            <a:ext uri="{FF2B5EF4-FFF2-40B4-BE49-F238E27FC236}">
              <a16:creationId xmlns:a16="http://schemas.microsoft.com/office/drawing/2014/main" id="{3EEDBE9D-33DE-40E5-9608-5EADE00D758A}"/>
            </a:ext>
          </a:extLst>
        </xdr:cNvPr>
        <xdr:cNvSpPr/>
      </xdr:nvSpPr>
      <xdr:spPr>
        <a:xfrm>
          <a:off x="2343150" y="304800"/>
          <a:ext cx="10077450" cy="40005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2800" b="1">
              <a:solidFill>
                <a:schemeClr val="tx1"/>
              </a:solidFill>
            </a:rPr>
            <a:t>ANALISIS</a:t>
          </a:r>
          <a:r>
            <a:rPr lang="es-ES" sz="2800" b="1" baseline="0">
              <a:solidFill>
                <a:schemeClr val="tx1"/>
              </a:solidFill>
            </a:rPr>
            <a:t> DE MIS FINANZAS PERSONALES</a:t>
          </a:r>
          <a:endParaRPr lang="es-ES" sz="2800" b="1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704850</xdr:colOff>
      <xdr:row>5</xdr:row>
      <xdr:rowOff>28575</xdr:rowOff>
    </xdr:from>
    <xdr:to>
      <xdr:col>7</xdr:col>
      <xdr:colOff>47625</xdr:colOff>
      <xdr:row>6</xdr:row>
      <xdr:rowOff>76200</xdr:rowOff>
    </xdr:to>
    <xdr:sp macro="" textlink="">
      <xdr:nvSpPr>
        <xdr:cNvPr id="52" name="Rectángulo 51">
          <a:extLst>
            <a:ext uri="{FF2B5EF4-FFF2-40B4-BE49-F238E27FC236}">
              <a16:creationId xmlns:a16="http://schemas.microsoft.com/office/drawing/2014/main" id="{77D7140B-8A75-4CFD-9E4C-FEDB109C7500}"/>
            </a:ext>
          </a:extLst>
        </xdr:cNvPr>
        <xdr:cNvSpPr/>
      </xdr:nvSpPr>
      <xdr:spPr>
        <a:xfrm>
          <a:off x="4514850" y="981075"/>
          <a:ext cx="866775" cy="2381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 b="1">
              <a:solidFill>
                <a:sysClr val="windowText" lastClr="000000"/>
              </a:solidFill>
            </a:rPr>
            <a:t>INGRESOS</a:t>
          </a:r>
        </a:p>
      </xdr:txBody>
    </xdr:sp>
    <xdr:clientData/>
  </xdr:twoCellAnchor>
  <xdr:twoCellAnchor>
    <xdr:from>
      <xdr:col>10</xdr:col>
      <xdr:colOff>419100</xdr:colOff>
      <xdr:row>5</xdr:row>
      <xdr:rowOff>9525</xdr:rowOff>
    </xdr:from>
    <xdr:to>
      <xdr:col>11</xdr:col>
      <xdr:colOff>523875</xdr:colOff>
      <xdr:row>6</xdr:row>
      <xdr:rowOff>57150</xdr:rowOff>
    </xdr:to>
    <xdr:sp macro="" textlink="">
      <xdr:nvSpPr>
        <xdr:cNvPr id="53" name="Rectángulo 52">
          <a:extLst>
            <a:ext uri="{FF2B5EF4-FFF2-40B4-BE49-F238E27FC236}">
              <a16:creationId xmlns:a16="http://schemas.microsoft.com/office/drawing/2014/main" id="{1579020B-CFC8-4506-9043-0F3A82236435}"/>
            </a:ext>
          </a:extLst>
        </xdr:cNvPr>
        <xdr:cNvSpPr/>
      </xdr:nvSpPr>
      <xdr:spPr>
        <a:xfrm>
          <a:off x="8039100" y="962025"/>
          <a:ext cx="866775" cy="2381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es-ES" sz="1100" b="1">
              <a:solidFill>
                <a:sysClr val="windowText" lastClr="000000"/>
              </a:solidFill>
            </a:rPr>
            <a:t>EGRESOS</a:t>
          </a:r>
        </a:p>
      </xdr:txBody>
    </xdr:sp>
    <xdr:clientData/>
  </xdr:twoCellAnchor>
  <xdr:twoCellAnchor>
    <xdr:from>
      <xdr:col>15</xdr:col>
      <xdr:colOff>257175</xdr:colOff>
      <xdr:row>5</xdr:row>
      <xdr:rowOff>28575</xdr:rowOff>
    </xdr:from>
    <xdr:to>
      <xdr:col>16</xdr:col>
      <xdr:colOff>361950</xdr:colOff>
      <xdr:row>6</xdr:row>
      <xdr:rowOff>76200</xdr:rowOff>
    </xdr:to>
    <xdr:sp macro="" textlink="">
      <xdr:nvSpPr>
        <xdr:cNvPr id="54" name="Rectángulo 53">
          <a:extLst>
            <a:ext uri="{FF2B5EF4-FFF2-40B4-BE49-F238E27FC236}">
              <a16:creationId xmlns:a16="http://schemas.microsoft.com/office/drawing/2014/main" id="{F278D3AF-A532-4A91-804D-4713FB242BD6}"/>
            </a:ext>
          </a:extLst>
        </xdr:cNvPr>
        <xdr:cNvSpPr/>
      </xdr:nvSpPr>
      <xdr:spPr>
        <a:xfrm>
          <a:off x="11687175" y="981075"/>
          <a:ext cx="866775" cy="2381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es-ES" sz="1100" b="1">
              <a:solidFill>
                <a:sysClr val="windowText" lastClr="000000"/>
              </a:solidFill>
            </a:rPr>
            <a:t>SALDO</a:t>
          </a:r>
        </a:p>
        <a:p>
          <a:pPr algn="r"/>
          <a:endParaRPr lang="es-ES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12</xdr:col>
      <xdr:colOff>571500</xdr:colOff>
      <xdr:row>5</xdr:row>
      <xdr:rowOff>152400</xdr:rowOff>
    </xdr:from>
    <xdr:to>
      <xdr:col>13</xdr:col>
      <xdr:colOff>743080</xdr:colOff>
      <xdr:row>9</xdr:row>
      <xdr:rowOff>152506</xdr:rowOff>
    </xdr:to>
    <xdr:pic>
      <xdr:nvPicPr>
        <xdr:cNvPr id="57" name="Imagen 56">
          <a:extLst>
            <a:ext uri="{FF2B5EF4-FFF2-40B4-BE49-F238E27FC236}">
              <a16:creationId xmlns:a16="http://schemas.microsoft.com/office/drawing/2014/main" id="{741206CF-83AA-41B1-16AF-66C296DF2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15500" y="1104900"/>
          <a:ext cx="933580" cy="762106"/>
        </a:xfrm>
        <a:prstGeom prst="rect">
          <a:avLst/>
        </a:prstGeom>
      </xdr:spPr>
    </xdr:pic>
    <xdr:clientData/>
  </xdr:twoCellAnchor>
  <xdr:twoCellAnchor editAs="oneCell">
    <xdr:from>
      <xdr:col>8</xdr:col>
      <xdr:colOff>133350</xdr:colOff>
      <xdr:row>5</xdr:row>
      <xdr:rowOff>104775</xdr:rowOff>
    </xdr:from>
    <xdr:to>
      <xdr:col>9</xdr:col>
      <xdr:colOff>209667</xdr:colOff>
      <xdr:row>9</xdr:row>
      <xdr:rowOff>123934</xdr:rowOff>
    </xdr:to>
    <xdr:pic>
      <xdr:nvPicPr>
        <xdr:cNvPr id="58" name="Imagen 57">
          <a:extLst>
            <a:ext uri="{FF2B5EF4-FFF2-40B4-BE49-F238E27FC236}">
              <a16:creationId xmlns:a16="http://schemas.microsoft.com/office/drawing/2014/main" id="{1F496AAF-3852-BA6A-C1B3-789B662BE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29350" y="1057275"/>
          <a:ext cx="838317" cy="781159"/>
        </a:xfrm>
        <a:prstGeom prst="rect">
          <a:avLst/>
        </a:prstGeom>
      </xdr:spPr>
    </xdr:pic>
    <xdr:clientData/>
  </xdr:twoCellAnchor>
  <xdr:twoCellAnchor editAs="oneCell">
    <xdr:from>
      <xdr:col>3</xdr:col>
      <xdr:colOff>285750</xdr:colOff>
      <xdr:row>5</xdr:row>
      <xdr:rowOff>76200</xdr:rowOff>
    </xdr:from>
    <xdr:to>
      <xdr:col>4</xdr:col>
      <xdr:colOff>524015</xdr:colOff>
      <xdr:row>9</xdr:row>
      <xdr:rowOff>104885</xdr:rowOff>
    </xdr:to>
    <xdr:pic>
      <xdr:nvPicPr>
        <xdr:cNvPr id="59" name="Imagen 58">
          <a:extLst>
            <a:ext uri="{FF2B5EF4-FFF2-40B4-BE49-F238E27FC236}">
              <a16:creationId xmlns:a16="http://schemas.microsoft.com/office/drawing/2014/main" id="{34E02CC7-9230-9334-BE7E-52FDA2DCAC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71750" y="1028700"/>
          <a:ext cx="1000265" cy="790685"/>
        </a:xfrm>
        <a:prstGeom prst="rect">
          <a:avLst/>
        </a:prstGeom>
      </xdr:spPr>
    </xdr:pic>
    <xdr:clientData/>
  </xdr:twoCellAnchor>
  <xdr:twoCellAnchor editAs="oneCell">
    <xdr:from>
      <xdr:col>3</xdr:col>
      <xdr:colOff>266699</xdr:colOff>
      <xdr:row>27</xdr:row>
      <xdr:rowOff>123825</xdr:rowOff>
    </xdr:from>
    <xdr:to>
      <xdr:col>4</xdr:col>
      <xdr:colOff>369324</xdr:colOff>
      <xdr:row>31</xdr:row>
      <xdr:rowOff>161925</xdr:rowOff>
    </xdr:to>
    <xdr:pic>
      <xdr:nvPicPr>
        <xdr:cNvPr id="60" name="Imagen 59">
          <a:extLst>
            <a:ext uri="{FF2B5EF4-FFF2-40B4-BE49-F238E27FC236}">
              <a16:creationId xmlns:a16="http://schemas.microsoft.com/office/drawing/2014/main" id="{436099FB-B745-CBFE-47B7-66C8918BAD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52699" y="5267325"/>
          <a:ext cx="864625" cy="800100"/>
        </a:xfrm>
        <a:prstGeom prst="rect">
          <a:avLst/>
        </a:prstGeom>
      </xdr:spPr>
    </xdr:pic>
    <xdr:clientData/>
  </xdr:twoCellAnchor>
  <xdr:twoCellAnchor>
    <xdr:from>
      <xdr:col>4</xdr:col>
      <xdr:colOff>409575</xdr:colOff>
      <xdr:row>24</xdr:row>
      <xdr:rowOff>171450</xdr:rowOff>
    </xdr:from>
    <xdr:to>
      <xdr:col>6</xdr:col>
      <xdr:colOff>381000</xdr:colOff>
      <xdr:row>26</xdr:row>
      <xdr:rowOff>28575</xdr:rowOff>
    </xdr:to>
    <xdr:sp macro="" textlink="">
      <xdr:nvSpPr>
        <xdr:cNvPr id="62" name="Rectángulo 61">
          <a:extLst>
            <a:ext uri="{FF2B5EF4-FFF2-40B4-BE49-F238E27FC236}">
              <a16:creationId xmlns:a16="http://schemas.microsoft.com/office/drawing/2014/main" id="{8C388A2A-BFA6-46D0-B30D-1BA6121E5AAC}"/>
            </a:ext>
          </a:extLst>
        </xdr:cNvPr>
        <xdr:cNvSpPr/>
      </xdr:nvSpPr>
      <xdr:spPr>
        <a:xfrm>
          <a:off x="3457575" y="4743450"/>
          <a:ext cx="1495425" cy="2381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 b="1">
              <a:solidFill>
                <a:sysClr val="windowText" lastClr="000000"/>
              </a:solidFill>
            </a:rPr>
            <a:t>Fuentes</a:t>
          </a:r>
          <a:r>
            <a:rPr lang="es-ES" sz="1100" b="1" baseline="0">
              <a:solidFill>
                <a:sysClr val="windowText" lastClr="000000"/>
              </a:solidFill>
            </a:rPr>
            <a:t> de Ingresos</a:t>
          </a:r>
        </a:p>
      </xdr:txBody>
    </xdr:sp>
    <xdr:clientData/>
  </xdr:twoCellAnchor>
  <xdr:twoCellAnchor>
    <xdr:from>
      <xdr:col>5</xdr:col>
      <xdr:colOff>692426</xdr:colOff>
      <xdr:row>12</xdr:row>
      <xdr:rowOff>41827</xdr:rowOff>
    </xdr:from>
    <xdr:to>
      <xdr:col>6</xdr:col>
      <xdr:colOff>745435</xdr:colOff>
      <xdr:row>13</xdr:row>
      <xdr:rowOff>89452</xdr:rowOff>
    </xdr:to>
    <xdr:sp macro="" textlink="">
      <xdr:nvSpPr>
        <xdr:cNvPr id="63" name="Rectángulo 62">
          <a:extLst>
            <a:ext uri="{FF2B5EF4-FFF2-40B4-BE49-F238E27FC236}">
              <a16:creationId xmlns:a16="http://schemas.microsoft.com/office/drawing/2014/main" id="{092CEE97-97E1-4EF9-9F18-98667EF882DE}"/>
            </a:ext>
          </a:extLst>
        </xdr:cNvPr>
        <xdr:cNvSpPr/>
      </xdr:nvSpPr>
      <xdr:spPr>
        <a:xfrm>
          <a:off x="4502426" y="2327827"/>
          <a:ext cx="815009" cy="2381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 b="1" baseline="0">
              <a:solidFill>
                <a:sysClr val="windowText" lastClr="000000"/>
              </a:solidFill>
            </a:rPr>
            <a:t>EGRESOS</a:t>
          </a:r>
          <a:endParaRPr lang="es-E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628650</xdr:colOff>
      <xdr:row>11</xdr:row>
      <xdr:rowOff>152400</xdr:rowOff>
    </xdr:from>
    <xdr:to>
      <xdr:col>14</xdr:col>
      <xdr:colOff>571500</xdr:colOff>
      <xdr:row>13</xdr:row>
      <xdr:rowOff>9525</xdr:rowOff>
    </xdr:to>
    <xdr:sp macro="" textlink="">
      <xdr:nvSpPr>
        <xdr:cNvPr id="64" name="Rectángulo 63">
          <a:extLst>
            <a:ext uri="{FF2B5EF4-FFF2-40B4-BE49-F238E27FC236}">
              <a16:creationId xmlns:a16="http://schemas.microsoft.com/office/drawing/2014/main" id="{44FB75BA-DB07-41DA-8EEF-6C48776162EA}"/>
            </a:ext>
          </a:extLst>
        </xdr:cNvPr>
        <xdr:cNvSpPr/>
      </xdr:nvSpPr>
      <xdr:spPr>
        <a:xfrm>
          <a:off x="9010650" y="2247900"/>
          <a:ext cx="2228850" cy="2381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 b="1">
              <a:solidFill>
                <a:sysClr val="windowText" lastClr="000000"/>
              </a:solidFill>
            </a:rPr>
            <a:t>INGRESOS Y</a:t>
          </a:r>
          <a:r>
            <a:rPr lang="es-ES" sz="1100" b="1" baseline="0">
              <a:solidFill>
                <a:sysClr val="windowText" lastClr="000000"/>
              </a:solidFill>
            </a:rPr>
            <a:t> EGRESOS POR MES</a:t>
          </a:r>
          <a:endParaRPr lang="es-E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476250</xdr:colOff>
      <xdr:row>4</xdr:row>
      <xdr:rowOff>66675</xdr:rowOff>
    </xdr:from>
    <xdr:to>
      <xdr:col>2</xdr:col>
      <xdr:colOff>495300</xdr:colOff>
      <xdr:row>8</xdr:row>
      <xdr:rowOff>95250</xdr:rowOff>
    </xdr:to>
    <xdr:sp macro="" textlink="INTER!$P$18">
      <xdr:nvSpPr>
        <xdr:cNvPr id="65" name="Rectángulo 64">
          <a:extLst>
            <a:ext uri="{FF2B5EF4-FFF2-40B4-BE49-F238E27FC236}">
              <a16:creationId xmlns:a16="http://schemas.microsoft.com/office/drawing/2014/main" id="{05FAA495-125B-7287-0233-07D4251B5DD7}"/>
            </a:ext>
          </a:extLst>
        </xdr:cNvPr>
        <xdr:cNvSpPr/>
      </xdr:nvSpPr>
      <xdr:spPr>
        <a:xfrm>
          <a:off x="476250" y="828675"/>
          <a:ext cx="1543050" cy="7905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203FFD03-4C29-4CC3-B661-6DF4141E2425}" type="TxLink">
            <a:rPr lang="en-US" sz="3200" b="0" i="0" u="none" strike="noStrike">
              <a:solidFill>
                <a:srgbClr val="000000"/>
              </a:solidFill>
              <a:latin typeface="Modern Love Caps" panose="04070805081001020A01" pitchFamily="82" charset="0"/>
            </a:rPr>
            <a:pPr algn="l"/>
            <a:t>S/ 15k</a:t>
          </a:fld>
          <a:endParaRPr lang="es-ES" sz="6000">
            <a:latin typeface="Modern Love Caps" panose="04070805081001020A01" pitchFamily="82" charset="0"/>
          </a:endParaRPr>
        </a:p>
      </xdr:txBody>
    </xdr:sp>
    <xdr:clientData/>
  </xdr:twoCellAnchor>
  <xdr:twoCellAnchor>
    <xdr:from>
      <xdr:col>5</xdr:col>
      <xdr:colOff>95250</xdr:colOff>
      <xdr:row>6</xdr:row>
      <xdr:rowOff>0</xdr:rowOff>
    </xdr:from>
    <xdr:to>
      <xdr:col>7</xdr:col>
      <xdr:colOff>314325</xdr:colOff>
      <xdr:row>9</xdr:row>
      <xdr:rowOff>161925</xdr:rowOff>
    </xdr:to>
    <xdr:sp macro="" textlink="INTER!$A$2">
      <xdr:nvSpPr>
        <xdr:cNvPr id="66" name="Rectángulo 65">
          <a:extLst>
            <a:ext uri="{FF2B5EF4-FFF2-40B4-BE49-F238E27FC236}">
              <a16:creationId xmlns:a16="http://schemas.microsoft.com/office/drawing/2014/main" id="{033C6F3B-05FF-44CE-9DD0-6E470B5A1BA5}"/>
            </a:ext>
          </a:extLst>
        </xdr:cNvPr>
        <xdr:cNvSpPr/>
      </xdr:nvSpPr>
      <xdr:spPr>
        <a:xfrm>
          <a:off x="3905250" y="1143000"/>
          <a:ext cx="1743075" cy="7334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674FB722-A1F6-4746-82A0-00EC0ED42755}" type="TxLink">
            <a:rPr lang="en-US" sz="3600" b="0" i="0" u="none" strike="noStrike">
              <a:solidFill>
                <a:srgbClr val="000000"/>
              </a:solidFill>
              <a:latin typeface="Modern Love Caps" panose="04070805081001020A01" pitchFamily="82" charset="0"/>
            </a:rPr>
            <a:pPr algn="l"/>
            <a:t> 15.331 </a:t>
          </a:fld>
          <a:endParaRPr lang="es-ES" sz="8000">
            <a:latin typeface="Modern Love Caps" panose="04070805081001020A01" pitchFamily="82" charset="0"/>
          </a:endParaRPr>
        </a:p>
      </xdr:txBody>
    </xdr:sp>
    <xdr:clientData/>
  </xdr:twoCellAnchor>
  <xdr:twoCellAnchor>
    <xdr:from>
      <xdr:col>9</xdr:col>
      <xdr:colOff>571500</xdr:colOff>
      <xdr:row>6</xdr:row>
      <xdr:rowOff>28575</xdr:rowOff>
    </xdr:from>
    <xdr:to>
      <xdr:col>12</xdr:col>
      <xdr:colOff>295275</xdr:colOff>
      <xdr:row>10</xdr:row>
      <xdr:rowOff>9525</xdr:rowOff>
    </xdr:to>
    <xdr:sp macro="" textlink="INTER!$B$2">
      <xdr:nvSpPr>
        <xdr:cNvPr id="67" name="Rectángulo 66">
          <a:extLst>
            <a:ext uri="{FF2B5EF4-FFF2-40B4-BE49-F238E27FC236}">
              <a16:creationId xmlns:a16="http://schemas.microsoft.com/office/drawing/2014/main" id="{CC0DC6FC-BA68-435D-A08E-4A2CB1364AC1}"/>
            </a:ext>
          </a:extLst>
        </xdr:cNvPr>
        <xdr:cNvSpPr/>
      </xdr:nvSpPr>
      <xdr:spPr>
        <a:xfrm>
          <a:off x="7429500" y="1171575"/>
          <a:ext cx="2009775" cy="7429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5DE14782-6AFB-4151-9B64-FA003ECC384F}" type="TxLink">
            <a:rPr lang="en-US" sz="3600" b="0" i="0" u="none" strike="noStrike">
              <a:solidFill>
                <a:srgbClr val="000000"/>
              </a:solidFill>
              <a:latin typeface="Modern Love Caps" panose="04070805081001020A01" pitchFamily="82" charset="0"/>
            </a:rPr>
            <a:pPr algn="l"/>
            <a:t>9399,86</a:t>
          </a:fld>
          <a:endParaRPr lang="es-ES" sz="3600">
            <a:latin typeface="Modern Love Caps" panose="04070805081001020A01" pitchFamily="82" charset="0"/>
          </a:endParaRPr>
        </a:p>
      </xdr:txBody>
    </xdr:sp>
    <xdr:clientData/>
  </xdr:twoCellAnchor>
  <xdr:twoCellAnchor>
    <xdr:from>
      <xdr:col>14</xdr:col>
      <xdr:colOff>438149</xdr:colOff>
      <xdr:row>6</xdr:row>
      <xdr:rowOff>66675</xdr:rowOff>
    </xdr:from>
    <xdr:to>
      <xdr:col>17</xdr:col>
      <xdr:colOff>257174</xdr:colOff>
      <xdr:row>10</xdr:row>
      <xdr:rowOff>38100</xdr:rowOff>
    </xdr:to>
    <xdr:sp macro="" textlink="INTER!$C$2">
      <xdr:nvSpPr>
        <xdr:cNvPr id="68" name="Rectángulo 67">
          <a:extLst>
            <a:ext uri="{FF2B5EF4-FFF2-40B4-BE49-F238E27FC236}">
              <a16:creationId xmlns:a16="http://schemas.microsoft.com/office/drawing/2014/main" id="{FE850A29-5DAC-45BB-95A4-929BBD056156}"/>
            </a:ext>
          </a:extLst>
        </xdr:cNvPr>
        <xdr:cNvSpPr/>
      </xdr:nvSpPr>
      <xdr:spPr>
        <a:xfrm>
          <a:off x="11106149" y="1209675"/>
          <a:ext cx="2105025" cy="7334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EDB3A4E1-2AD7-4E86-928C-1A097791BFEF}" type="TxLink">
            <a:rPr lang="en-US" sz="3600" b="0" i="0" u="none" strike="noStrike">
              <a:solidFill>
                <a:srgbClr val="000000"/>
              </a:solidFill>
              <a:latin typeface="Modern Love Caps" panose="04070805081001020A01" pitchFamily="82" charset="0"/>
            </a:rPr>
            <a:pPr algn="l"/>
            <a:t>5931,56</a:t>
          </a:fld>
          <a:endParaRPr lang="es-ES" sz="3600">
            <a:latin typeface="Modern Love Caps" panose="04070805081001020A01" pitchFamily="82" charset="0"/>
          </a:endParaRPr>
        </a:p>
      </xdr:txBody>
    </xdr:sp>
    <xdr:clientData/>
  </xdr:twoCellAnchor>
  <xdr:twoCellAnchor>
    <xdr:from>
      <xdr:col>0</xdr:col>
      <xdr:colOff>495300</xdr:colOff>
      <xdr:row>10</xdr:row>
      <xdr:rowOff>171450</xdr:rowOff>
    </xdr:from>
    <xdr:to>
      <xdr:col>2</xdr:col>
      <xdr:colOff>447675</xdr:colOff>
      <xdr:row>13</xdr:row>
      <xdr:rowOff>19050</xdr:rowOff>
    </xdr:to>
    <xdr:sp macro="" textlink="">
      <xdr:nvSpPr>
        <xdr:cNvPr id="70" name="Rectángulo 6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E6B50A5-6164-A13A-DF78-0A4E08A499A6}"/>
            </a:ext>
          </a:extLst>
        </xdr:cNvPr>
        <xdr:cNvSpPr/>
      </xdr:nvSpPr>
      <xdr:spPr>
        <a:xfrm>
          <a:off x="495300" y="2076450"/>
          <a:ext cx="1476375" cy="419100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>
              <a:solidFill>
                <a:schemeClr val="tx1"/>
              </a:solidFill>
              <a:latin typeface="Modern Love Caps" panose="04070805081001020A01" pitchFamily="82" charset="0"/>
            </a:rPr>
            <a:t>DASHBOARD</a:t>
          </a:r>
        </a:p>
      </xdr:txBody>
    </xdr:sp>
    <xdr:clientData/>
  </xdr:twoCellAnchor>
  <xdr:twoCellAnchor>
    <xdr:from>
      <xdr:col>0</xdr:col>
      <xdr:colOff>495300</xdr:colOff>
      <xdr:row>14</xdr:row>
      <xdr:rowOff>57150</xdr:rowOff>
    </xdr:from>
    <xdr:to>
      <xdr:col>2</xdr:col>
      <xdr:colOff>447675</xdr:colOff>
      <xdr:row>16</xdr:row>
      <xdr:rowOff>95250</xdr:rowOff>
    </xdr:to>
    <xdr:sp macro="" textlink="">
      <xdr:nvSpPr>
        <xdr:cNvPr id="71" name="Rectángulo 7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72868EC-D5D5-481A-B752-4A921D6F2B2F}"/>
            </a:ext>
          </a:extLst>
        </xdr:cNvPr>
        <xdr:cNvSpPr/>
      </xdr:nvSpPr>
      <xdr:spPr>
        <a:xfrm>
          <a:off x="495300" y="2724150"/>
          <a:ext cx="1476375" cy="419100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>
              <a:solidFill>
                <a:schemeClr val="tx1"/>
              </a:solidFill>
              <a:latin typeface="Modern Love Caps" panose="04070805081001020A01" pitchFamily="82" charset="0"/>
            </a:rPr>
            <a:t>FORMULARIO</a:t>
          </a:r>
        </a:p>
      </xdr:txBody>
    </xdr:sp>
    <xdr:clientData/>
  </xdr:twoCellAnchor>
  <xdr:twoCellAnchor>
    <xdr:from>
      <xdr:col>4</xdr:col>
      <xdr:colOff>390525</xdr:colOff>
      <xdr:row>26</xdr:row>
      <xdr:rowOff>85725</xdr:rowOff>
    </xdr:from>
    <xdr:to>
      <xdr:col>6</xdr:col>
      <xdr:colOff>361950</xdr:colOff>
      <xdr:row>27</xdr:row>
      <xdr:rowOff>133350</xdr:rowOff>
    </xdr:to>
    <xdr:sp macro="" textlink="">
      <xdr:nvSpPr>
        <xdr:cNvPr id="72" name="Rectángulo 71">
          <a:extLst>
            <a:ext uri="{FF2B5EF4-FFF2-40B4-BE49-F238E27FC236}">
              <a16:creationId xmlns:a16="http://schemas.microsoft.com/office/drawing/2014/main" id="{B893DC20-A14D-427C-AC47-70A70F1D54EF}"/>
            </a:ext>
          </a:extLst>
        </xdr:cNvPr>
        <xdr:cNvSpPr/>
      </xdr:nvSpPr>
      <xdr:spPr>
        <a:xfrm>
          <a:off x="3438525" y="5038725"/>
          <a:ext cx="1495425" cy="2381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 b="1">
              <a:solidFill>
                <a:sysClr val="windowText" lastClr="000000"/>
              </a:solidFill>
            </a:rPr>
            <a:t>SUELDO</a:t>
          </a:r>
          <a:endParaRPr lang="es-ES" sz="1100" b="1" baseline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371475</xdr:colOff>
      <xdr:row>29</xdr:row>
      <xdr:rowOff>171450</xdr:rowOff>
    </xdr:from>
    <xdr:to>
      <xdr:col>6</xdr:col>
      <xdr:colOff>342900</xdr:colOff>
      <xdr:row>31</xdr:row>
      <xdr:rowOff>28575</xdr:rowOff>
    </xdr:to>
    <xdr:sp macro="" textlink="">
      <xdr:nvSpPr>
        <xdr:cNvPr id="74" name="Rectángulo 73">
          <a:extLst>
            <a:ext uri="{FF2B5EF4-FFF2-40B4-BE49-F238E27FC236}">
              <a16:creationId xmlns:a16="http://schemas.microsoft.com/office/drawing/2014/main" id="{52257D3E-9A1B-433D-B5C3-1719D0D1E243}"/>
            </a:ext>
          </a:extLst>
        </xdr:cNvPr>
        <xdr:cNvSpPr/>
      </xdr:nvSpPr>
      <xdr:spPr>
        <a:xfrm>
          <a:off x="3419475" y="5695950"/>
          <a:ext cx="1495425" cy="2381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 b="1">
              <a:solidFill>
                <a:sysClr val="windowText" lastClr="000000"/>
              </a:solidFill>
            </a:rPr>
            <a:t>CACHUELO</a:t>
          </a:r>
          <a:endParaRPr lang="es-ES" sz="1100" b="1" baseline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360707</xdr:colOff>
      <xdr:row>13</xdr:row>
      <xdr:rowOff>147845</xdr:rowOff>
    </xdr:from>
    <xdr:to>
      <xdr:col>9</xdr:col>
      <xdr:colOff>74957</xdr:colOff>
      <xdr:row>22</xdr:row>
      <xdr:rowOff>24020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6" name="Gráfico 75">
              <a:extLst>
                <a:ext uri="{FF2B5EF4-FFF2-40B4-BE49-F238E27FC236}">
                  <a16:creationId xmlns:a16="http://schemas.microsoft.com/office/drawing/2014/main" id="{21B9CEA8-5D5D-402B-AA42-7D1879B82B2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46707" y="2624345"/>
              <a:ext cx="4286250" cy="1590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4</xdr:col>
      <xdr:colOff>400050</xdr:colOff>
      <xdr:row>27</xdr:row>
      <xdr:rowOff>19050</xdr:rowOff>
    </xdr:from>
    <xdr:to>
      <xdr:col>6</xdr:col>
      <xdr:colOff>419100</xdr:colOff>
      <xdr:row>29</xdr:row>
      <xdr:rowOff>161925</xdr:rowOff>
    </xdr:to>
    <xdr:sp macro="" textlink="INTER!$M$7">
      <xdr:nvSpPr>
        <xdr:cNvPr id="77" name="Rectángulo 76">
          <a:extLst>
            <a:ext uri="{FF2B5EF4-FFF2-40B4-BE49-F238E27FC236}">
              <a16:creationId xmlns:a16="http://schemas.microsoft.com/office/drawing/2014/main" id="{683AC636-3A47-46BE-ACC1-A24EB86D8D6F}"/>
            </a:ext>
          </a:extLst>
        </xdr:cNvPr>
        <xdr:cNvSpPr/>
      </xdr:nvSpPr>
      <xdr:spPr>
        <a:xfrm>
          <a:off x="3448050" y="5162550"/>
          <a:ext cx="1543050" cy="5238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2400" b="0" i="0" u="none" strike="noStrike">
              <a:solidFill>
                <a:srgbClr val="000000"/>
              </a:solidFill>
              <a:latin typeface="Modern Love Caps" panose="04070805081001020A01" pitchFamily="82" charset="0"/>
            </a:rPr>
            <a:t>S/.</a:t>
          </a:r>
          <a:fld id="{62992945-B04E-4244-AB08-6CE847D53E33}" type="TxLink">
            <a:rPr lang="en-US" sz="2400" b="0" i="0" u="none" strike="noStrike">
              <a:solidFill>
                <a:srgbClr val="000000"/>
              </a:solidFill>
              <a:latin typeface="Modern Love Caps" panose="04070805081001020A01" pitchFamily="82" charset="0"/>
            </a:rPr>
            <a:pPr algn="l"/>
            <a:t>1972,8</a:t>
          </a:fld>
          <a:endParaRPr lang="es-ES" sz="4800">
            <a:latin typeface="Modern Love Caps" panose="04070805081001020A01" pitchFamily="82" charset="0"/>
          </a:endParaRPr>
        </a:p>
      </xdr:txBody>
    </xdr:sp>
    <xdr:clientData/>
  </xdr:twoCellAnchor>
  <xdr:twoCellAnchor>
    <xdr:from>
      <xdr:col>4</xdr:col>
      <xdr:colOff>390525</xdr:colOff>
      <xdr:row>30</xdr:row>
      <xdr:rowOff>152400</xdr:rowOff>
    </xdr:from>
    <xdr:to>
      <xdr:col>6</xdr:col>
      <xdr:colOff>409575</xdr:colOff>
      <xdr:row>33</xdr:row>
      <xdr:rowOff>104775</xdr:rowOff>
    </xdr:to>
    <xdr:sp macro="" textlink="INTER!$M$8">
      <xdr:nvSpPr>
        <xdr:cNvPr id="79" name="Rectángulo 78">
          <a:extLst>
            <a:ext uri="{FF2B5EF4-FFF2-40B4-BE49-F238E27FC236}">
              <a16:creationId xmlns:a16="http://schemas.microsoft.com/office/drawing/2014/main" id="{A376B04D-363E-41A8-A914-939062ECD2A5}"/>
            </a:ext>
          </a:extLst>
        </xdr:cNvPr>
        <xdr:cNvSpPr/>
      </xdr:nvSpPr>
      <xdr:spPr>
        <a:xfrm>
          <a:off x="3438525" y="5867400"/>
          <a:ext cx="1543050" cy="5238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2400" b="0" i="0" u="none" strike="noStrike">
              <a:solidFill>
                <a:srgbClr val="000000"/>
              </a:solidFill>
              <a:latin typeface="Modern Love Caps" panose="04070805081001020A01" pitchFamily="82" charset="0"/>
            </a:rPr>
            <a:t>S/.</a:t>
          </a:r>
          <a:fld id="{236A2B60-1C0E-4193-A96C-B85D6EE1B2BC}" type="TxLink">
            <a:rPr lang="en-US" sz="2400" b="0" i="0" u="none" strike="noStrike">
              <a:solidFill>
                <a:srgbClr val="000000"/>
              </a:solidFill>
              <a:latin typeface="Modern Love Caps" panose="04070805081001020A01" pitchFamily="82" charset="0"/>
            </a:rPr>
            <a:pPr algn="l"/>
            <a:t>13058,62</a:t>
          </a:fld>
          <a:endParaRPr lang="es-ES" sz="8800">
            <a:latin typeface="Modern Love Caps" panose="04070805081001020A01" pitchFamily="82" charset="0"/>
          </a:endParaRPr>
        </a:p>
      </xdr:txBody>
    </xdr:sp>
    <xdr:clientData/>
  </xdr:twoCellAnchor>
  <xdr:twoCellAnchor>
    <xdr:from>
      <xdr:col>8</xdr:col>
      <xdr:colOff>57150</xdr:colOff>
      <xdr:row>24</xdr:row>
      <xdr:rowOff>123825</xdr:rowOff>
    </xdr:from>
    <xdr:to>
      <xdr:col>15</xdr:col>
      <xdr:colOff>647700</xdr:colOff>
      <xdr:row>34</xdr:row>
      <xdr:rowOff>9525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Gráfico 6">
              <a:extLst>
                <a:ext uri="{FF2B5EF4-FFF2-40B4-BE49-F238E27FC236}">
                  <a16:creationId xmlns:a16="http://schemas.microsoft.com/office/drawing/2014/main" id="{CEFA0C7B-6821-479C-AA58-14FD11A821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53150" y="4695825"/>
              <a:ext cx="5924550" cy="1790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319928</xdr:colOff>
      <xdr:row>19</xdr:row>
      <xdr:rowOff>189380</xdr:rowOff>
    </xdr:from>
    <xdr:to>
      <xdr:col>2</xdr:col>
      <xdr:colOff>624728</xdr:colOff>
      <xdr:row>28</xdr:row>
      <xdr:rowOff>123265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mes_corto">
              <a:extLst>
                <a:ext uri="{FF2B5EF4-FFF2-40B4-BE49-F238E27FC236}">
                  <a16:creationId xmlns:a16="http://schemas.microsoft.com/office/drawing/2014/main" id="{391095CC-4C39-14FE-B748-2F51B0BCBD3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_cor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9928" y="3808880"/>
              <a:ext cx="1828800" cy="164838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10</xdr:col>
      <xdr:colOff>100853</xdr:colOff>
      <xdr:row>13</xdr:row>
      <xdr:rowOff>56029</xdr:rowOff>
    </xdr:from>
    <xdr:to>
      <xdr:col>16</xdr:col>
      <xdr:colOff>123265</xdr:colOff>
      <xdr:row>22</xdr:row>
      <xdr:rowOff>89647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54E05370-9D54-4DE7-B8FE-D0CDEC744D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1</xdr:row>
      <xdr:rowOff>47625</xdr:rowOff>
    </xdr:from>
    <xdr:to>
      <xdr:col>16</xdr:col>
      <xdr:colOff>657225</xdr:colOff>
      <xdr:row>7</xdr:row>
      <xdr:rowOff>38100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55986CA-7FE3-4636-8924-7B65C478E224}"/>
            </a:ext>
          </a:extLst>
        </xdr:cNvPr>
        <xdr:cNvSpPr/>
      </xdr:nvSpPr>
      <xdr:spPr>
        <a:xfrm>
          <a:off x="161925" y="238125"/>
          <a:ext cx="12687300" cy="113347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257175</xdr:colOff>
      <xdr:row>1</xdr:row>
      <xdr:rowOff>123825</xdr:rowOff>
    </xdr:from>
    <xdr:to>
      <xdr:col>2</xdr:col>
      <xdr:colOff>695325</xdr:colOff>
      <xdr:row>35</xdr:row>
      <xdr:rowOff>57150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EB58BB7D-9390-411C-B57D-3BCC3EDF013E}"/>
            </a:ext>
          </a:extLst>
        </xdr:cNvPr>
        <xdr:cNvSpPr/>
      </xdr:nvSpPr>
      <xdr:spPr>
        <a:xfrm>
          <a:off x="257175" y="314325"/>
          <a:ext cx="1962150" cy="6410325"/>
        </a:xfrm>
        <a:prstGeom prst="roundRect">
          <a:avLst>
            <a:gd name="adj" fmla="val 10145"/>
          </a:avLst>
        </a:prstGeom>
        <a:solidFill>
          <a:schemeClr val="tx2">
            <a:lumMod val="25000"/>
            <a:lumOff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161925</xdr:colOff>
      <xdr:row>4</xdr:row>
      <xdr:rowOff>161925</xdr:rowOff>
    </xdr:from>
    <xdr:to>
      <xdr:col>7</xdr:col>
      <xdr:colOff>104775</xdr:colOff>
      <xdr:row>10</xdr:row>
      <xdr:rowOff>95250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D95AF5E4-1BFD-4A8B-BD84-1D691E3B6595}"/>
            </a:ext>
          </a:extLst>
        </xdr:cNvPr>
        <xdr:cNvSpPr/>
      </xdr:nvSpPr>
      <xdr:spPr>
        <a:xfrm>
          <a:off x="2447925" y="923925"/>
          <a:ext cx="2990850" cy="107632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12</xdr:col>
      <xdr:colOff>514350</xdr:colOff>
      <xdr:row>4</xdr:row>
      <xdr:rowOff>180975</xdr:rowOff>
    </xdr:from>
    <xdr:to>
      <xdr:col>16</xdr:col>
      <xdr:colOff>457200</xdr:colOff>
      <xdr:row>10</xdr:row>
      <xdr:rowOff>114300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23A1D791-A8BF-4C73-8E5B-3E8E505C1EAB}"/>
            </a:ext>
          </a:extLst>
        </xdr:cNvPr>
        <xdr:cNvSpPr/>
      </xdr:nvSpPr>
      <xdr:spPr>
        <a:xfrm>
          <a:off x="9658350" y="942975"/>
          <a:ext cx="2990850" cy="107632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695325</xdr:colOff>
      <xdr:row>5</xdr:row>
      <xdr:rowOff>0</xdr:rowOff>
    </xdr:from>
    <xdr:to>
      <xdr:col>11</xdr:col>
      <xdr:colOff>638175</xdr:colOff>
      <xdr:row>10</xdr:row>
      <xdr:rowOff>123825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97328693-CC36-4524-A5E3-F0DEEA8F5392}"/>
            </a:ext>
          </a:extLst>
        </xdr:cNvPr>
        <xdr:cNvSpPr/>
      </xdr:nvSpPr>
      <xdr:spPr>
        <a:xfrm>
          <a:off x="6029325" y="952500"/>
          <a:ext cx="2990850" cy="107632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57150</xdr:colOff>
      <xdr:row>1</xdr:row>
      <xdr:rowOff>114300</xdr:rowOff>
    </xdr:from>
    <xdr:to>
      <xdr:col>16</xdr:col>
      <xdr:colOff>228600</xdr:colOff>
      <xdr:row>3</xdr:row>
      <xdr:rowOff>133351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05B09CBE-AD37-4892-AC3E-7198F9FF85C5}"/>
            </a:ext>
          </a:extLst>
        </xdr:cNvPr>
        <xdr:cNvSpPr/>
      </xdr:nvSpPr>
      <xdr:spPr>
        <a:xfrm>
          <a:off x="2343150" y="304800"/>
          <a:ext cx="10077450" cy="40005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2800" b="1">
              <a:solidFill>
                <a:schemeClr val="tx1"/>
              </a:solidFill>
            </a:rPr>
            <a:t>ANALISIS</a:t>
          </a:r>
          <a:r>
            <a:rPr lang="es-ES" sz="2800" b="1" baseline="0">
              <a:solidFill>
                <a:schemeClr val="tx1"/>
              </a:solidFill>
            </a:rPr>
            <a:t> DE MIS FINANZAS PERSONALES</a:t>
          </a:r>
          <a:endParaRPr lang="es-ES" sz="2800" b="1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704850</xdr:colOff>
      <xdr:row>5</xdr:row>
      <xdr:rowOff>28575</xdr:rowOff>
    </xdr:from>
    <xdr:to>
      <xdr:col>7</xdr:col>
      <xdr:colOff>47625</xdr:colOff>
      <xdr:row>6</xdr:row>
      <xdr:rowOff>76200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6F2A26CF-3CD9-492D-B39E-54B4B44A6AE9}"/>
            </a:ext>
          </a:extLst>
        </xdr:cNvPr>
        <xdr:cNvSpPr/>
      </xdr:nvSpPr>
      <xdr:spPr>
        <a:xfrm>
          <a:off x="4514850" y="981075"/>
          <a:ext cx="866775" cy="2381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 b="1">
              <a:solidFill>
                <a:sysClr val="windowText" lastClr="000000"/>
              </a:solidFill>
            </a:rPr>
            <a:t>INGRESOS</a:t>
          </a:r>
        </a:p>
      </xdr:txBody>
    </xdr:sp>
    <xdr:clientData/>
  </xdr:twoCellAnchor>
  <xdr:twoCellAnchor>
    <xdr:from>
      <xdr:col>9</xdr:col>
      <xdr:colOff>514351</xdr:colOff>
      <xdr:row>5</xdr:row>
      <xdr:rowOff>9525</xdr:rowOff>
    </xdr:from>
    <xdr:to>
      <xdr:col>11</xdr:col>
      <xdr:colOff>523876</xdr:colOff>
      <xdr:row>6</xdr:row>
      <xdr:rowOff>57150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231F0D7C-96CB-485E-8EBA-14B6ED8D0759}"/>
            </a:ext>
          </a:extLst>
        </xdr:cNvPr>
        <xdr:cNvSpPr/>
      </xdr:nvSpPr>
      <xdr:spPr>
        <a:xfrm>
          <a:off x="7372351" y="962025"/>
          <a:ext cx="971550" cy="2381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es-ES" sz="1100" b="1">
              <a:solidFill>
                <a:sysClr val="windowText" lastClr="000000"/>
              </a:solidFill>
            </a:rPr>
            <a:t>EGRESOS</a:t>
          </a:r>
        </a:p>
      </xdr:txBody>
    </xdr:sp>
    <xdr:clientData/>
  </xdr:twoCellAnchor>
  <xdr:twoCellAnchor>
    <xdr:from>
      <xdr:col>15</xdr:col>
      <xdr:colOff>257175</xdr:colOff>
      <xdr:row>5</xdr:row>
      <xdr:rowOff>28575</xdr:rowOff>
    </xdr:from>
    <xdr:to>
      <xdr:col>16</xdr:col>
      <xdr:colOff>361950</xdr:colOff>
      <xdr:row>6</xdr:row>
      <xdr:rowOff>76200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C32A9123-ED83-41F0-838D-3C7A9DCEFCC3}"/>
            </a:ext>
          </a:extLst>
        </xdr:cNvPr>
        <xdr:cNvSpPr/>
      </xdr:nvSpPr>
      <xdr:spPr>
        <a:xfrm>
          <a:off x="11687175" y="981075"/>
          <a:ext cx="866775" cy="2381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es-ES" sz="1100" b="1">
              <a:solidFill>
                <a:sysClr val="windowText" lastClr="000000"/>
              </a:solidFill>
            </a:rPr>
            <a:t>SALDO</a:t>
          </a:r>
        </a:p>
        <a:p>
          <a:pPr algn="r"/>
          <a:endParaRPr lang="es-ES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12</xdr:col>
      <xdr:colOff>571500</xdr:colOff>
      <xdr:row>5</xdr:row>
      <xdr:rowOff>152400</xdr:rowOff>
    </xdr:from>
    <xdr:to>
      <xdr:col>13</xdr:col>
      <xdr:colOff>743080</xdr:colOff>
      <xdr:row>9</xdr:row>
      <xdr:rowOff>152506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FCF7AAA0-2FFA-47EB-9BF3-BE7C0BD12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15500" y="1104900"/>
          <a:ext cx="933580" cy="762106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5</xdr:row>
      <xdr:rowOff>133350</xdr:rowOff>
    </xdr:from>
    <xdr:to>
      <xdr:col>8</xdr:col>
      <xdr:colOff>735284</xdr:colOff>
      <xdr:row>9</xdr:row>
      <xdr:rowOff>47625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F989DA3A-F848-429D-B438-21715DC65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05525" y="1085850"/>
          <a:ext cx="725759" cy="676275"/>
        </a:xfrm>
        <a:prstGeom prst="rect">
          <a:avLst/>
        </a:prstGeom>
      </xdr:spPr>
    </xdr:pic>
    <xdr:clientData/>
  </xdr:twoCellAnchor>
  <xdr:twoCellAnchor editAs="oneCell">
    <xdr:from>
      <xdr:col>3</xdr:col>
      <xdr:colOff>285750</xdr:colOff>
      <xdr:row>5</xdr:row>
      <xdr:rowOff>76200</xdr:rowOff>
    </xdr:from>
    <xdr:to>
      <xdr:col>4</xdr:col>
      <xdr:colOff>524015</xdr:colOff>
      <xdr:row>9</xdr:row>
      <xdr:rowOff>104885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C19DC124-73DD-42CA-B601-E4A215A9C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71750" y="1028700"/>
          <a:ext cx="1000265" cy="790685"/>
        </a:xfrm>
        <a:prstGeom prst="rect">
          <a:avLst/>
        </a:prstGeom>
      </xdr:spPr>
    </xdr:pic>
    <xdr:clientData/>
  </xdr:twoCellAnchor>
  <xdr:twoCellAnchor>
    <xdr:from>
      <xdr:col>0</xdr:col>
      <xdr:colOff>476250</xdr:colOff>
      <xdr:row>4</xdr:row>
      <xdr:rowOff>66675</xdr:rowOff>
    </xdr:from>
    <xdr:to>
      <xdr:col>2</xdr:col>
      <xdr:colOff>495300</xdr:colOff>
      <xdr:row>8</xdr:row>
      <xdr:rowOff>95250</xdr:rowOff>
    </xdr:to>
    <xdr:sp macro="" textlink="INTER!$P$18">
      <xdr:nvSpPr>
        <xdr:cNvPr id="23" name="Rectángulo 22">
          <a:extLst>
            <a:ext uri="{FF2B5EF4-FFF2-40B4-BE49-F238E27FC236}">
              <a16:creationId xmlns:a16="http://schemas.microsoft.com/office/drawing/2014/main" id="{6745B801-81E0-41C6-BFD8-5F1850ADD7C6}"/>
            </a:ext>
          </a:extLst>
        </xdr:cNvPr>
        <xdr:cNvSpPr/>
      </xdr:nvSpPr>
      <xdr:spPr>
        <a:xfrm>
          <a:off x="476250" y="828675"/>
          <a:ext cx="1543050" cy="7905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E565A147-9B4A-4F2A-B297-0D4AC23AC78F}" type="TxLink">
            <a:rPr lang="en-US" sz="4000" b="0" i="0" u="none" strike="noStrike">
              <a:solidFill>
                <a:srgbClr val="000000"/>
              </a:solidFill>
              <a:latin typeface="Modern Love Caps" panose="04070805081001020A01" pitchFamily="82" charset="0"/>
            </a:rPr>
            <a:pPr algn="l"/>
            <a:t>S/ 15k</a:t>
          </a:fld>
          <a:endParaRPr lang="es-ES" sz="7200">
            <a:latin typeface="Modern Love Caps" panose="04070805081001020A01" pitchFamily="82" charset="0"/>
          </a:endParaRPr>
        </a:p>
      </xdr:txBody>
    </xdr:sp>
    <xdr:clientData/>
  </xdr:twoCellAnchor>
  <xdr:twoCellAnchor>
    <xdr:from>
      <xdr:col>4</xdr:col>
      <xdr:colOff>561975</xdr:colOff>
      <xdr:row>5</xdr:row>
      <xdr:rowOff>171450</xdr:rowOff>
    </xdr:from>
    <xdr:to>
      <xdr:col>7</xdr:col>
      <xdr:colOff>114300</xdr:colOff>
      <xdr:row>9</xdr:row>
      <xdr:rowOff>142875</xdr:rowOff>
    </xdr:to>
    <xdr:sp macro="" textlink="INTER!$A$2">
      <xdr:nvSpPr>
        <xdr:cNvPr id="24" name="Rectángulo 23">
          <a:extLst>
            <a:ext uri="{FF2B5EF4-FFF2-40B4-BE49-F238E27FC236}">
              <a16:creationId xmlns:a16="http://schemas.microsoft.com/office/drawing/2014/main" id="{6B957188-932A-40F9-9EC2-389B56321E28}"/>
            </a:ext>
          </a:extLst>
        </xdr:cNvPr>
        <xdr:cNvSpPr/>
      </xdr:nvSpPr>
      <xdr:spPr>
        <a:xfrm>
          <a:off x="3609975" y="1123950"/>
          <a:ext cx="1838325" cy="7334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3600" b="0" i="0" u="none" strike="noStrike">
              <a:solidFill>
                <a:srgbClr val="000000"/>
              </a:solidFill>
              <a:latin typeface="Modern Love Caps" panose="04070805081001020A01" pitchFamily="82" charset="0"/>
            </a:rPr>
            <a:t>s/</a:t>
          </a:r>
          <a:fld id="{A4A0E12C-11E0-4B1D-83FB-B9AECCE93D1C}" type="TxLink">
            <a:rPr lang="en-US" sz="3600" b="0" i="0" u="none" strike="noStrike">
              <a:solidFill>
                <a:srgbClr val="000000"/>
              </a:solidFill>
              <a:latin typeface="Modern Love Caps" panose="04070805081001020A01" pitchFamily="82" charset="0"/>
            </a:rPr>
            <a:pPr algn="l"/>
            <a:t> 15.331 </a:t>
          </a:fld>
          <a:endParaRPr lang="es-ES" sz="3600">
            <a:latin typeface="Modern Love Caps" panose="04070805081001020A01" pitchFamily="82" charset="0"/>
          </a:endParaRPr>
        </a:p>
      </xdr:txBody>
    </xdr:sp>
    <xdr:clientData/>
  </xdr:twoCellAnchor>
  <xdr:twoCellAnchor>
    <xdr:from>
      <xdr:col>8</xdr:col>
      <xdr:colOff>723899</xdr:colOff>
      <xdr:row>6</xdr:row>
      <xdr:rowOff>47625</xdr:rowOff>
    </xdr:from>
    <xdr:to>
      <xdr:col>11</xdr:col>
      <xdr:colOff>685800</xdr:colOff>
      <xdr:row>10</xdr:row>
      <xdr:rowOff>19050</xdr:rowOff>
    </xdr:to>
    <xdr:sp macro="" textlink="INTER!$B$2">
      <xdr:nvSpPr>
        <xdr:cNvPr id="25" name="Rectángulo 24">
          <a:extLst>
            <a:ext uri="{FF2B5EF4-FFF2-40B4-BE49-F238E27FC236}">
              <a16:creationId xmlns:a16="http://schemas.microsoft.com/office/drawing/2014/main" id="{08BC467E-8C8C-4CBA-942B-6B2220DD7D77}"/>
            </a:ext>
          </a:extLst>
        </xdr:cNvPr>
        <xdr:cNvSpPr/>
      </xdr:nvSpPr>
      <xdr:spPr>
        <a:xfrm>
          <a:off x="6819899" y="1190625"/>
          <a:ext cx="1685926" cy="7334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2800" b="0" i="0" u="none" strike="noStrike">
              <a:solidFill>
                <a:srgbClr val="000000"/>
              </a:solidFill>
              <a:latin typeface="Modern Love Caps" panose="04070805081001020A01" pitchFamily="82" charset="0"/>
            </a:rPr>
            <a:t>s/ </a:t>
          </a:r>
          <a:fld id="{706FDF7D-086E-4FB4-8EA9-25FE0DB75BA4}" type="TxLink">
            <a:rPr lang="en-US" sz="2800" b="0" i="0" u="none" strike="noStrike">
              <a:solidFill>
                <a:srgbClr val="000000"/>
              </a:solidFill>
              <a:latin typeface="Modern Love Caps" panose="04070805081001020A01" pitchFamily="82" charset="0"/>
            </a:rPr>
            <a:pPr algn="l"/>
            <a:t>9399,86</a:t>
          </a:fld>
          <a:endParaRPr lang="es-ES" sz="2800">
            <a:latin typeface="Modern Love Caps" panose="04070805081001020A01" pitchFamily="82" charset="0"/>
          </a:endParaRPr>
        </a:p>
      </xdr:txBody>
    </xdr:sp>
    <xdr:clientData/>
  </xdr:twoCellAnchor>
  <xdr:twoCellAnchor>
    <xdr:from>
      <xdr:col>13</xdr:col>
      <xdr:colOff>657224</xdr:colOff>
      <xdr:row>6</xdr:row>
      <xdr:rowOff>28575</xdr:rowOff>
    </xdr:from>
    <xdr:to>
      <xdr:col>16</xdr:col>
      <xdr:colOff>476249</xdr:colOff>
      <xdr:row>10</xdr:row>
      <xdr:rowOff>0</xdr:rowOff>
    </xdr:to>
    <xdr:sp macro="" textlink="INTER!$C$2">
      <xdr:nvSpPr>
        <xdr:cNvPr id="26" name="Rectángulo 25">
          <a:extLst>
            <a:ext uri="{FF2B5EF4-FFF2-40B4-BE49-F238E27FC236}">
              <a16:creationId xmlns:a16="http://schemas.microsoft.com/office/drawing/2014/main" id="{50537A25-A764-4126-BC38-837A0C3CD238}"/>
            </a:ext>
          </a:extLst>
        </xdr:cNvPr>
        <xdr:cNvSpPr/>
      </xdr:nvSpPr>
      <xdr:spPr>
        <a:xfrm>
          <a:off x="10001249" y="1171575"/>
          <a:ext cx="2105025" cy="7334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3600" b="0" i="0" u="none" strike="noStrike">
              <a:solidFill>
                <a:srgbClr val="000000"/>
              </a:solidFill>
              <a:latin typeface="Modern Love Caps" panose="04070805081001020A01" pitchFamily="82" charset="0"/>
            </a:rPr>
            <a:t>s/ </a:t>
          </a:r>
          <a:fld id="{747C97B7-E917-4A3D-9E11-CB8CF86C2D32}" type="TxLink">
            <a:rPr lang="en-US" sz="3600" b="0" i="0" u="none" strike="noStrike">
              <a:solidFill>
                <a:srgbClr val="000000"/>
              </a:solidFill>
              <a:latin typeface="Modern Love Caps" panose="04070805081001020A01" pitchFamily="82" charset="0"/>
            </a:rPr>
            <a:pPr algn="l"/>
            <a:t>5931,56</a:t>
          </a:fld>
          <a:endParaRPr lang="es-ES" sz="3600">
            <a:latin typeface="Modern Love Caps" panose="04070805081001020A01" pitchFamily="82" charset="0"/>
          </a:endParaRPr>
        </a:p>
      </xdr:txBody>
    </xdr:sp>
    <xdr:clientData/>
  </xdr:twoCellAnchor>
  <xdr:twoCellAnchor>
    <xdr:from>
      <xdr:col>0</xdr:col>
      <xdr:colOff>495300</xdr:colOff>
      <xdr:row>10</xdr:row>
      <xdr:rowOff>171450</xdr:rowOff>
    </xdr:from>
    <xdr:to>
      <xdr:col>2</xdr:col>
      <xdr:colOff>447675</xdr:colOff>
      <xdr:row>13</xdr:row>
      <xdr:rowOff>19050</xdr:rowOff>
    </xdr:to>
    <xdr:sp macro="" textlink="">
      <xdr:nvSpPr>
        <xdr:cNvPr id="28" name="Rectángulo 2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46536D7-C129-44BD-A91E-D836E7DDF763}"/>
            </a:ext>
          </a:extLst>
        </xdr:cNvPr>
        <xdr:cNvSpPr/>
      </xdr:nvSpPr>
      <xdr:spPr>
        <a:xfrm>
          <a:off x="495300" y="2076450"/>
          <a:ext cx="1476375" cy="419100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>
              <a:solidFill>
                <a:schemeClr val="tx1"/>
              </a:solidFill>
              <a:latin typeface="Modern Love Caps" panose="04070805081001020A01" pitchFamily="82" charset="0"/>
            </a:rPr>
            <a:t>DASHBOARD</a:t>
          </a:r>
        </a:p>
      </xdr:txBody>
    </xdr:sp>
    <xdr:clientData/>
  </xdr:twoCellAnchor>
  <xdr:twoCellAnchor>
    <xdr:from>
      <xdr:col>0</xdr:col>
      <xdr:colOff>495300</xdr:colOff>
      <xdr:row>14</xdr:row>
      <xdr:rowOff>57150</xdr:rowOff>
    </xdr:from>
    <xdr:to>
      <xdr:col>2</xdr:col>
      <xdr:colOff>447675</xdr:colOff>
      <xdr:row>16</xdr:row>
      <xdr:rowOff>95250</xdr:rowOff>
    </xdr:to>
    <xdr:sp macro="" textlink="">
      <xdr:nvSpPr>
        <xdr:cNvPr id="29" name="Rectángulo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68FAB6F-7601-420F-B1EA-C15E833AE426}"/>
            </a:ext>
          </a:extLst>
        </xdr:cNvPr>
        <xdr:cNvSpPr/>
      </xdr:nvSpPr>
      <xdr:spPr>
        <a:xfrm>
          <a:off x="495300" y="2724150"/>
          <a:ext cx="1476375" cy="419100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>
              <a:solidFill>
                <a:schemeClr val="tx1"/>
              </a:solidFill>
              <a:latin typeface="Modern Love Caps" panose="04070805081001020A01" pitchFamily="82" charset="0"/>
            </a:rPr>
            <a:t>FORMULARIO</a:t>
          </a:r>
        </a:p>
      </xdr:txBody>
    </xdr:sp>
    <xdr:clientData/>
  </xdr:twoCellAnchor>
  <xdr:twoCellAnchor>
    <xdr:from>
      <xdr:col>5</xdr:col>
      <xdr:colOff>0</xdr:colOff>
      <xdr:row>20</xdr:row>
      <xdr:rowOff>114301</xdr:rowOff>
    </xdr:from>
    <xdr:to>
      <xdr:col>6</xdr:col>
      <xdr:colOff>0</xdr:colOff>
      <xdr:row>22</xdr:row>
      <xdr:rowOff>1</xdr:rowOff>
    </xdr:to>
    <xdr:sp macro="[0]!Fecha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880C4978-02FD-214F-A6AD-91255370B0A1}"/>
            </a:ext>
          </a:extLst>
        </xdr:cNvPr>
        <xdr:cNvSpPr/>
      </xdr:nvSpPr>
      <xdr:spPr>
        <a:xfrm>
          <a:off x="3810000" y="3924301"/>
          <a:ext cx="762000" cy="2667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HOY</a:t>
          </a:r>
        </a:p>
      </xdr:txBody>
    </xdr:sp>
    <xdr:clientData/>
  </xdr:twoCellAnchor>
  <xdr:twoCellAnchor>
    <xdr:from>
      <xdr:col>13</xdr:col>
      <xdr:colOff>0</xdr:colOff>
      <xdr:row>20</xdr:row>
      <xdr:rowOff>104776</xdr:rowOff>
    </xdr:from>
    <xdr:to>
      <xdr:col>14</xdr:col>
      <xdr:colOff>0</xdr:colOff>
      <xdr:row>21</xdr:row>
      <xdr:rowOff>180976</xdr:rowOff>
    </xdr:to>
    <xdr:sp macro="[0]!FECHA_ING" textlink="">
      <xdr:nvSpPr>
        <xdr:cNvPr id="38" name="Rectángulo: esquinas redondeadas 37">
          <a:extLst>
            <a:ext uri="{FF2B5EF4-FFF2-40B4-BE49-F238E27FC236}">
              <a16:creationId xmlns:a16="http://schemas.microsoft.com/office/drawing/2014/main" id="{7B3834A0-D013-44DE-80FA-D58106CDC859}"/>
            </a:ext>
          </a:extLst>
        </xdr:cNvPr>
        <xdr:cNvSpPr/>
      </xdr:nvSpPr>
      <xdr:spPr>
        <a:xfrm>
          <a:off x="9344025" y="3914776"/>
          <a:ext cx="762000" cy="2667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HOY</a:t>
          </a:r>
        </a:p>
      </xdr:txBody>
    </xdr:sp>
    <xdr:clientData/>
  </xdr:twoCellAnchor>
  <xdr:twoCellAnchor>
    <xdr:from>
      <xdr:col>4</xdr:col>
      <xdr:colOff>0</xdr:colOff>
      <xdr:row>26</xdr:row>
      <xdr:rowOff>28575</xdr:rowOff>
    </xdr:from>
    <xdr:to>
      <xdr:col>5</xdr:col>
      <xdr:colOff>733425</xdr:colOff>
      <xdr:row>28</xdr:row>
      <xdr:rowOff>38100</xdr:rowOff>
    </xdr:to>
    <xdr:sp macro="[0]!INS_EGRESO" textlink="">
      <xdr:nvSpPr>
        <xdr:cNvPr id="39" name="Rectángulo: esquinas redondeadas 38">
          <a:extLst>
            <a:ext uri="{FF2B5EF4-FFF2-40B4-BE49-F238E27FC236}">
              <a16:creationId xmlns:a16="http://schemas.microsoft.com/office/drawing/2014/main" id="{FE9340FE-FDA8-87EF-08EE-50B6480EBFD4}"/>
            </a:ext>
          </a:extLst>
        </xdr:cNvPr>
        <xdr:cNvSpPr/>
      </xdr:nvSpPr>
      <xdr:spPr>
        <a:xfrm>
          <a:off x="3048000" y="4981575"/>
          <a:ext cx="1495425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INSERTAR</a:t>
          </a:r>
        </a:p>
      </xdr:txBody>
    </xdr:sp>
    <xdr:clientData/>
  </xdr:twoCellAnchor>
  <xdr:twoCellAnchor>
    <xdr:from>
      <xdr:col>6</xdr:col>
      <xdr:colOff>752475</xdr:colOff>
      <xdr:row>26</xdr:row>
      <xdr:rowOff>0</xdr:rowOff>
    </xdr:from>
    <xdr:to>
      <xdr:col>8</xdr:col>
      <xdr:colOff>723900</xdr:colOff>
      <xdr:row>28</xdr:row>
      <xdr:rowOff>9525</xdr:rowOff>
    </xdr:to>
    <xdr:sp macro="[0]!LIM_EGRESO" textlink="">
      <xdr:nvSpPr>
        <xdr:cNvPr id="41" name="Rectángulo: esquinas redondeadas 40">
          <a:extLst>
            <a:ext uri="{FF2B5EF4-FFF2-40B4-BE49-F238E27FC236}">
              <a16:creationId xmlns:a16="http://schemas.microsoft.com/office/drawing/2014/main" id="{255693C4-D372-4A9C-9873-0A0056D2CF6F}"/>
            </a:ext>
          </a:extLst>
        </xdr:cNvPr>
        <xdr:cNvSpPr/>
      </xdr:nvSpPr>
      <xdr:spPr>
        <a:xfrm>
          <a:off x="5324475" y="4953000"/>
          <a:ext cx="1495425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LIMPIAR</a:t>
          </a:r>
        </a:p>
      </xdr:txBody>
    </xdr:sp>
    <xdr:clientData/>
  </xdr:twoCellAnchor>
  <xdr:twoCellAnchor>
    <xdr:from>
      <xdr:col>12</xdr:col>
      <xdr:colOff>66675</xdr:colOff>
      <xdr:row>26</xdr:row>
      <xdr:rowOff>28575</xdr:rowOff>
    </xdr:from>
    <xdr:to>
      <xdr:col>14</xdr:col>
      <xdr:colOff>38100</xdr:colOff>
      <xdr:row>28</xdr:row>
      <xdr:rowOff>38100</xdr:rowOff>
    </xdr:to>
    <xdr:sp macro="[0]!INS_INGRESO" textlink="">
      <xdr:nvSpPr>
        <xdr:cNvPr id="42" name="Rectángulo: esquinas redondeadas 41">
          <a:extLst>
            <a:ext uri="{FF2B5EF4-FFF2-40B4-BE49-F238E27FC236}">
              <a16:creationId xmlns:a16="http://schemas.microsoft.com/office/drawing/2014/main" id="{246C3B5D-5FEF-44CB-AE51-955EC54FD24F}"/>
            </a:ext>
          </a:extLst>
        </xdr:cNvPr>
        <xdr:cNvSpPr/>
      </xdr:nvSpPr>
      <xdr:spPr>
        <a:xfrm>
          <a:off x="8648700" y="4981575"/>
          <a:ext cx="1495425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INSERTAR</a:t>
          </a:r>
        </a:p>
      </xdr:txBody>
    </xdr:sp>
    <xdr:clientData/>
  </xdr:twoCellAnchor>
  <xdr:twoCellAnchor>
    <xdr:from>
      <xdr:col>14</xdr:col>
      <xdr:colOff>695325</xdr:colOff>
      <xdr:row>25</xdr:row>
      <xdr:rowOff>171450</xdr:rowOff>
    </xdr:from>
    <xdr:to>
      <xdr:col>16</xdr:col>
      <xdr:colOff>666750</xdr:colOff>
      <xdr:row>27</xdr:row>
      <xdr:rowOff>180975</xdr:rowOff>
    </xdr:to>
    <xdr:sp macro="[0]!LIM_INGRESO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FC6D6BFF-1E67-44BA-881E-5B0DC845DA07}"/>
            </a:ext>
          </a:extLst>
        </xdr:cNvPr>
        <xdr:cNvSpPr/>
      </xdr:nvSpPr>
      <xdr:spPr>
        <a:xfrm>
          <a:off x="10801350" y="4933950"/>
          <a:ext cx="1495425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LIMPIAR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ULIO" refreshedDate="45709.744000231483" backgroundQuery="1" createdVersion="8" refreshedVersion="8" minRefreshableVersion="3" recordCount="0" supportSubquery="1" supportAdvancedDrill="1" xr:uid="{464D6E0B-F9BB-4FA6-A1FA-C983B78E8063}">
  <cacheSource type="external" connectionId="2"/>
  <cacheFields count="2">
    <cacheField name="[Measures].[TOTAL_INGRESO]" caption="TOTAL_INGRESO" numFmtId="0" hierarchy="16" level="32767"/>
    <cacheField name="[BD].[MOTIVO].[MOTIVO]" caption="MOTIVO" numFmtId="0" hierarchy="3" level="1">
      <sharedItems count="2">
        <s v="CACHUELO"/>
        <s v="SUELDO"/>
      </sharedItems>
    </cacheField>
  </cacheFields>
  <cacheHierarchies count="25">
    <cacheHierarchy uniqueName="[BD].[TIPO]" caption="TIPO" attribute="1" defaultMemberUniqueName="[BD].[TIPO].[All]" allUniqueName="[BD].[TIPO].[All]" dimensionUniqueName="[BD]" displayFolder="" count="0" memberValueDatatype="130" unbalanced="0"/>
    <cacheHierarchy uniqueName="[BD].[CUENTA]" caption="CUENTA" attribute="1" defaultMemberUniqueName="[BD].[CUENTA].[All]" allUniqueName="[BD].[CUENTA].[All]" dimensionUniqueName="[BD]" displayFolder="" count="0" memberValueDatatype="130" unbalanced="0"/>
    <cacheHierarchy uniqueName="[BD].[SUBCUENTA]" caption="SUBCUENTA" attribute="1" defaultMemberUniqueName="[BD].[SUBCUENTA].[All]" allUniqueName="[BD].[SUBCUENTA].[All]" dimensionUniqueName="[BD]" displayFolder="" count="0" memberValueDatatype="130" unbalanced="0"/>
    <cacheHierarchy uniqueName="[BD].[MOTIVO]" caption="MOTIVO" attribute="1" defaultMemberUniqueName="[BD].[MOTIVO].[All]" allUniqueName="[BD].[MOTIVO].[All]" dimensionUniqueName="[BD]" displayFolder="" count="2" memberValueDatatype="130" unbalanced="0">
      <fieldsUsage count="2">
        <fieldUsage x="-1"/>
        <fieldUsage x="1"/>
      </fieldsUsage>
    </cacheHierarchy>
    <cacheHierarchy uniqueName="[BD].[MONTO]" caption="MONTO" attribute="1" defaultMemberUniqueName="[BD].[MONTO].[All]" allUniqueName="[BD].[MONTO].[All]" dimensionUniqueName="[BD]" displayFolder="" count="0" memberValueDatatype="5" unbalanced="0"/>
    <cacheHierarchy uniqueName="[BD].[FECHA]" caption="FECHA" attribute="1" time="1" defaultMemberUniqueName="[BD].[FECHA].[All]" allUniqueName="[BD].[FECHA].[All]" dimensionUniqueName="[BD]" displayFolder="" count="0" memberValueDatatype="7" unbalanced="0"/>
    <cacheHierarchy uniqueName="[BD].[MONTO_MOD]" caption="MONTO_MOD" attribute="1" defaultMemberUniqueName="[BD].[MONTO_MOD].[All]" allUniqueName="[BD].[MONTO_MOD].[All]" dimensionUniqueName="[BD]" displayFolder="" count="0" memberValueDatatype="5" unbalanced="0"/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0" unbalanced="0"/>
    <cacheHierarchy uniqueName="[Calendar].[Year]" caption="Year" attribute="1" time="1" defaultMemberUniqueName="[Calendar].[Year].[All]" allUniqueName="[Calendar].[Year].[All]" dimensionUniqueName="[Calendar]" displayFolder="" count="0" memberValueDatatype="20" unbalanced="0"/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0" memberValueDatatype="130" unbalanced="0"/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Calendar].[mes_corto]" caption="mes_corto" attribute="1" time="1" defaultMemberUniqueName="[Calendar].[mes_corto].[All]" allUniqueName="[Calendar].[mes_corto].[All]" dimensionUniqueName="[Calendar]" displayFolder="" count="0" memberValueDatatype="130" unbalanced="0"/>
    <cacheHierarchy uniqueName="[Measures].[TOTAL_INGRESO]" caption="TOTAL_INGRESO" measure="1" displayFolder="" measureGroup="BD" count="0" oneField="1">
      <fieldsUsage count="1">
        <fieldUsage x="0"/>
      </fieldsUsage>
    </cacheHierarchy>
    <cacheHierarchy uniqueName="[Measures].[TOTAL_EGRESO]" caption="TOTAL_EGRESO" measure="1" displayFolder="" measureGroup="BD" count="0"/>
    <cacheHierarchy uniqueName="[Measures].[SALDO]" caption="SALDO" measure="1" displayFolder="" measureGroup="BD" count="0"/>
    <cacheHierarchy uniqueName="[Measures].[PORCENTAJE]" caption="PORCENTAJE" measure="1" displayFolder="" measureGroup="BD" count="0"/>
    <cacheHierarchy uniqueName="[Measures].[__XL_Count BD]" caption="__XL_Count BD" measure="1" displayFolder="" measureGroup="BD" count="0" hidden="1"/>
    <cacheHierarchy uniqueName="[Measures].[__XL_Count Calendar]" caption="__XL_Count Calendar" measure="1" displayFolder="" measureGroup="Calendar" count="0" hidden="1"/>
    <cacheHierarchy uniqueName="[Measures].[__No hay medidas definidas]" caption="__No hay medidas definidas" measure="1" displayFolder="" count="0" hidden="1"/>
    <cacheHierarchy uniqueName="[Measures].[Recuento de MOTIVO]" caption="Recuento de MOTIVO" measure="1" displayFolder="" measureGroup="BD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_MOD]" caption="Suma de MONTO_MOD" measure="1" displayFolder="" measureGroup="BD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3">
    <dimension name="BD" uniqueName="[BD]" caption="BD"/>
    <dimension name="Calendar" uniqueName="[Calendar]" caption="Calendar"/>
    <dimension measure="1" name="Measures" uniqueName="[Measures]" caption="Measures"/>
  </dimensions>
  <measureGroups count="2">
    <measureGroup name="BD" caption="BD"/>
    <measureGroup name="Calendar" caption="Calendar"/>
  </measureGroups>
  <maps count="3">
    <map measureGroup="0" dimension="0"/>
    <map measureGroup="0" dimension="1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ULIO" refreshedDate="45709.745758680554" backgroundQuery="1" createdVersion="8" refreshedVersion="8" minRefreshableVersion="3" recordCount="0" supportSubquery="1" supportAdvancedDrill="1" xr:uid="{89C08A8D-7CE1-4031-A39F-7A2E43E4BA24}">
  <cacheSource type="external" connectionId="2"/>
  <cacheFields count="3">
    <cacheField name="[Measures].[TOTAL_INGRESO]" caption="TOTAL_INGRESO" numFmtId="0" hierarchy="16" level="32767"/>
    <cacheField name="[Measures].[TOTAL_EGRESO]" caption="TOTAL_EGRESO" numFmtId="0" hierarchy="17" level="32767"/>
    <cacheField name="[Calendar].[mes_corto].[mes_corto]" caption="mes_corto" numFmtId="0" hierarchy="15" level="1">
      <sharedItems count="7">
        <s v="ene"/>
        <s v="feb"/>
        <s v="mar"/>
        <s v="abr"/>
        <s v="jun"/>
        <s v="jul"/>
        <s v="ago"/>
      </sharedItems>
    </cacheField>
  </cacheFields>
  <cacheHierarchies count="25">
    <cacheHierarchy uniqueName="[BD].[TIPO]" caption="TIPO" attribute="1" defaultMemberUniqueName="[BD].[TIPO].[All]" allUniqueName="[BD].[TIPO].[All]" dimensionUniqueName="[BD]" displayFolder="" count="0" memberValueDatatype="130" unbalanced="0"/>
    <cacheHierarchy uniqueName="[BD].[CUENTA]" caption="CUENTA" attribute="1" defaultMemberUniqueName="[BD].[CUENTA].[All]" allUniqueName="[BD].[CUENTA].[All]" dimensionUniqueName="[BD]" displayFolder="" count="0" memberValueDatatype="130" unbalanced="0"/>
    <cacheHierarchy uniqueName="[BD].[SUBCUENTA]" caption="SUBCUENTA" attribute="1" defaultMemberUniqueName="[BD].[SUBCUENTA].[All]" allUniqueName="[BD].[SUBCUENTA].[All]" dimensionUniqueName="[BD]" displayFolder="" count="0" memberValueDatatype="130" unbalanced="0"/>
    <cacheHierarchy uniqueName="[BD].[MOTIVO]" caption="MOTIVO" attribute="1" defaultMemberUniqueName="[BD].[MOTIVO].[All]" allUniqueName="[BD].[MOTIVO].[All]" dimensionUniqueName="[BD]" displayFolder="" count="0" memberValueDatatype="130" unbalanced="0"/>
    <cacheHierarchy uniqueName="[BD].[MONTO]" caption="MONTO" attribute="1" defaultMemberUniqueName="[BD].[MONTO].[All]" allUniqueName="[BD].[MONTO].[All]" dimensionUniqueName="[BD]" displayFolder="" count="0" memberValueDatatype="5" unbalanced="0"/>
    <cacheHierarchy uniqueName="[BD].[FECHA]" caption="FECHA" attribute="1" time="1" defaultMemberUniqueName="[BD].[FECHA].[All]" allUniqueName="[BD].[FECHA].[All]" dimensionUniqueName="[BD]" displayFolder="" count="0" memberValueDatatype="7" unbalanced="0"/>
    <cacheHierarchy uniqueName="[BD].[MONTO_MOD]" caption="MONTO_MOD" attribute="1" defaultMemberUniqueName="[BD].[MONTO_MOD].[All]" allUniqueName="[BD].[MONTO_MOD].[All]" dimensionUniqueName="[BD]" displayFolder="" count="0" memberValueDatatype="5" unbalanced="0"/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4" unbalanced="0"/>
    <cacheHierarchy uniqueName="[Calendar].[Year]" caption="Year" attribute="1" time="1" defaultMemberUniqueName="[Calendar].[Year].[All]" allUniqueName="[Calendar].[Year].[All]" dimensionUniqueName="[Calendar]" displayFolder="" count="0" memberValueDatatype="20" unbalanced="0"/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0" memberValueDatatype="130" unbalanced="0"/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Calendar].[mes_corto]" caption="mes_corto" attribute="1" time="1" defaultMemberUniqueName="[Calendar].[mes_corto].[All]" allUniqueName="[Calendar].[mes_corto].[All]" dimensionUniqueName="[Calendar]" displayFolder="" count="2" memberValueDatatype="130" unbalanced="0">
      <fieldsUsage count="2">
        <fieldUsage x="-1"/>
        <fieldUsage x="2"/>
      </fieldsUsage>
    </cacheHierarchy>
    <cacheHierarchy uniqueName="[Measures].[TOTAL_INGRESO]" caption="TOTAL_INGRESO" measure="1" displayFolder="" measureGroup="BD" count="0" oneField="1">
      <fieldsUsage count="1">
        <fieldUsage x="0"/>
      </fieldsUsage>
    </cacheHierarchy>
    <cacheHierarchy uniqueName="[Measures].[TOTAL_EGRESO]" caption="TOTAL_EGRESO" measure="1" displayFolder="" measureGroup="BD" count="0" oneField="1">
      <fieldsUsage count="1">
        <fieldUsage x="1"/>
      </fieldsUsage>
    </cacheHierarchy>
    <cacheHierarchy uniqueName="[Measures].[SALDO]" caption="SALDO" measure="1" displayFolder="" measureGroup="BD" count="0"/>
    <cacheHierarchy uniqueName="[Measures].[PORCENTAJE]" caption="PORCENTAJE" measure="1" displayFolder="" measureGroup="BD" count="0"/>
    <cacheHierarchy uniqueName="[Measures].[__XL_Count BD]" caption="__XL_Count BD" measure="1" displayFolder="" measureGroup="BD" count="0" hidden="1"/>
    <cacheHierarchy uniqueName="[Measures].[__XL_Count Calendar]" caption="__XL_Count Calendar" measure="1" displayFolder="" measureGroup="Calendar" count="0" hidden="1"/>
    <cacheHierarchy uniqueName="[Measures].[__No hay medidas definidas]" caption="__No hay medidas definidas" measure="1" displayFolder="" count="0" hidden="1"/>
    <cacheHierarchy uniqueName="[Measures].[Recuento de MOTIVO]" caption="Recuento de MOTIVO" measure="1" displayFolder="" measureGroup="BD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_MOD]" caption="Suma de MONTO_MOD" measure="1" displayFolder="" measureGroup="BD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3">
    <dimension name="BD" uniqueName="[BD]" caption="BD"/>
    <dimension name="Calendar" uniqueName="[Calendar]" caption="Calendar"/>
    <dimension measure="1" name="Measures" uniqueName="[Measures]" caption="Measures"/>
  </dimensions>
  <measureGroups count="2">
    <measureGroup name="BD" caption="BD"/>
    <measureGroup name="Calendar" caption="Calendar"/>
  </measureGroups>
  <maps count="3">
    <map measureGroup="0" dimension="0"/>
    <map measureGroup="0" dimension="1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ULIO" refreshedDate="45709.745753356481" backgroundQuery="1" createdVersion="8" refreshedVersion="8" minRefreshableVersion="3" recordCount="0" supportSubquery="1" supportAdvancedDrill="1" xr:uid="{E6F41157-1730-4626-A927-AE2A39D5CEEF}">
  <cacheSource type="external" connectionId="2"/>
  <cacheFields count="4">
    <cacheField name="[Measures].[TOTAL_INGRESO]" caption="TOTAL_INGRESO" numFmtId="0" hierarchy="16" level="32767"/>
    <cacheField name="[Measures].[TOTAL_EGRESO]" caption="TOTAL_EGRESO" numFmtId="0" hierarchy="17" level="32767"/>
    <cacheField name="[Measures].[SALDO]" caption="SALDO" numFmtId="0" hierarchy="18" level="32767"/>
    <cacheField name="[Calendar].[mes_corto].[mes_corto]" caption="mes_corto" numFmtId="0" hierarchy="15" level="1">
      <sharedItems containsSemiMixedTypes="0" containsNonDate="0" containsString="0"/>
    </cacheField>
  </cacheFields>
  <cacheHierarchies count="25">
    <cacheHierarchy uniqueName="[BD].[TIPO]" caption="TIPO" attribute="1" defaultMemberUniqueName="[BD].[TIPO].[All]" allUniqueName="[BD].[TIPO].[All]" dimensionUniqueName="[BD]" displayFolder="" count="0" memberValueDatatype="130" unbalanced="0"/>
    <cacheHierarchy uniqueName="[BD].[CUENTA]" caption="CUENTA" attribute="1" defaultMemberUniqueName="[BD].[CUENTA].[All]" allUniqueName="[BD].[CUENTA].[All]" dimensionUniqueName="[BD]" displayFolder="" count="0" memberValueDatatype="130" unbalanced="0"/>
    <cacheHierarchy uniqueName="[BD].[SUBCUENTA]" caption="SUBCUENTA" attribute="1" defaultMemberUniqueName="[BD].[SUBCUENTA].[All]" allUniqueName="[BD].[SUBCUENTA].[All]" dimensionUniqueName="[BD]" displayFolder="" count="0" memberValueDatatype="130" unbalanced="0"/>
    <cacheHierarchy uniqueName="[BD].[MOTIVO]" caption="MOTIVO" attribute="1" defaultMemberUniqueName="[BD].[MOTIVO].[All]" allUniqueName="[BD].[MOTIVO].[All]" dimensionUniqueName="[BD]" displayFolder="" count="0" memberValueDatatype="130" unbalanced="0"/>
    <cacheHierarchy uniqueName="[BD].[MONTO]" caption="MONTO" attribute="1" defaultMemberUniqueName="[BD].[MONTO].[All]" allUniqueName="[BD].[MONTO].[All]" dimensionUniqueName="[BD]" displayFolder="" count="0" memberValueDatatype="5" unbalanced="0"/>
    <cacheHierarchy uniqueName="[BD].[FECHA]" caption="FECHA" attribute="1" time="1" defaultMemberUniqueName="[BD].[FECHA].[All]" allUniqueName="[BD].[FECHA].[All]" dimensionUniqueName="[BD]" displayFolder="" count="0" memberValueDatatype="7" unbalanced="0"/>
    <cacheHierarchy uniqueName="[BD].[MONTO_MOD]" caption="MONTO_MOD" attribute="1" defaultMemberUniqueName="[BD].[MONTO_MOD].[All]" allUniqueName="[BD].[MONTO_MOD].[All]" dimensionUniqueName="[BD]" displayFolder="" count="0" memberValueDatatype="5" unbalanced="0"/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0" unbalanced="0"/>
    <cacheHierarchy uniqueName="[Calendar].[Year]" caption="Year" attribute="1" time="1" defaultMemberUniqueName="[Calendar].[Year].[All]" allUniqueName="[Calendar].[Year].[All]" dimensionUniqueName="[Calendar]" displayFolder="" count="0" memberValueDatatype="20" unbalanced="0"/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0" memberValueDatatype="130" unbalanced="0"/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Calendar].[mes_corto]" caption="mes_corto" attribute="1" time="1" defaultMemberUniqueName="[Calendar].[mes_corto].[All]" allUniqueName="[Calendar].[mes_corto].[All]" dimensionUniqueName="[Calendar]" displayFolder="" count="2" memberValueDatatype="130" unbalanced="0">
      <fieldsUsage count="2">
        <fieldUsage x="-1"/>
        <fieldUsage x="3"/>
      </fieldsUsage>
    </cacheHierarchy>
    <cacheHierarchy uniqueName="[Measures].[TOTAL_INGRESO]" caption="TOTAL_INGRESO" measure="1" displayFolder="" measureGroup="BD" count="0" oneField="1">
      <fieldsUsage count="1">
        <fieldUsage x="0"/>
      </fieldsUsage>
    </cacheHierarchy>
    <cacheHierarchy uniqueName="[Measures].[TOTAL_EGRESO]" caption="TOTAL_EGRESO" measure="1" displayFolder="" measureGroup="BD" count="0" oneField="1">
      <fieldsUsage count="1">
        <fieldUsage x="1"/>
      </fieldsUsage>
    </cacheHierarchy>
    <cacheHierarchy uniqueName="[Measures].[SALDO]" caption="SALDO" measure="1" displayFolder="" measureGroup="BD" count="0" oneField="1">
      <fieldsUsage count="1">
        <fieldUsage x="2"/>
      </fieldsUsage>
    </cacheHierarchy>
    <cacheHierarchy uniqueName="[Measures].[PORCENTAJE]" caption="PORCENTAJE" measure="1" displayFolder="" measureGroup="BD" count="0"/>
    <cacheHierarchy uniqueName="[Measures].[__XL_Count BD]" caption="__XL_Count BD" measure="1" displayFolder="" measureGroup="BD" count="0" hidden="1"/>
    <cacheHierarchy uniqueName="[Measures].[__XL_Count Calendar]" caption="__XL_Count Calendar" measure="1" displayFolder="" measureGroup="Calendar" count="0" hidden="1"/>
    <cacheHierarchy uniqueName="[Measures].[__No hay medidas definidas]" caption="__No hay medidas definidas" measure="1" displayFolder="" count="0" hidden="1"/>
    <cacheHierarchy uniqueName="[Measures].[Recuento de MOTIVO]" caption="Recuento de MOTIVO" measure="1" displayFolder="" measureGroup="BD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_MOD]" caption="Suma de MONTO_MOD" measure="1" displayFolder="" measureGroup="BD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3">
    <dimension name="BD" uniqueName="[BD]" caption="BD"/>
    <dimension name="Calendar" uniqueName="[Calendar]" caption="Calendar"/>
    <dimension measure="1" name="Measures" uniqueName="[Measures]" caption="Measures"/>
  </dimensions>
  <measureGroups count="2">
    <measureGroup name="BD" caption="BD"/>
    <measureGroup name="Calendar" caption="Calendar"/>
  </measureGroups>
  <maps count="3">
    <map measureGroup="0" dimension="0"/>
    <map measureGroup="0" dimension="1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ULIO" refreshedDate="45709.745755439813" backgroundQuery="1" createdVersion="8" refreshedVersion="8" minRefreshableVersion="3" recordCount="0" supportSubquery="1" supportAdvancedDrill="1" xr:uid="{02A2363B-6B82-4C28-AA9E-51F81E99CD27}">
  <cacheSource type="external" connectionId="2"/>
  <cacheFields count="3">
    <cacheField name="[Measures].[TOTAL_EGRESO]" caption="TOTAL_EGRESO" numFmtId="0" hierarchy="17" level="32767"/>
    <cacheField name="[BD].[MOTIVO].[MOTIVO]" caption="MOTIVO" numFmtId="0" hierarchy="3" level="1">
      <sharedItems count="6">
        <s v="ALMUERZO"/>
        <s v="DIVERSIÓN"/>
        <s v="GASTOS HORMIGAS"/>
        <s v="JUGOS"/>
        <s v="SALIDAS"/>
        <s v="UTP"/>
      </sharedItems>
    </cacheField>
    <cacheField name="[Calendar].[mes_corto].[mes_corto]" caption="mes_corto" numFmtId="0" hierarchy="15" level="1">
      <sharedItems containsSemiMixedTypes="0" containsNonDate="0" containsString="0"/>
    </cacheField>
  </cacheFields>
  <cacheHierarchies count="25">
    <cacheHierarchy uniqueName="[BD].[TIPO]" caption="TIPO" attribute="1" defaultMemberUniqueName="[BD].[TIPO].[All]" allUniqueName="[BD].[TIPO].[All]" dimensionUniqueName="[BD]" displayFolder="" count="0" memberValueDatatype="130" unbalanced="0"/>
    <cacheHierarchy uniqueName="[BD].[CUENTA]" caption="CUENTA" attribute="1" defaultMemberUniqueName="[BD].[CUENTA].[All]" allUniqueName="[BD].[CUENTA].[All]" dimensionUniqueName="[BD]" displayFolder="" count="0" memberValueDatatype="130" unbalanced="0"/>
    <cacheHierarchy uniqueName="[BD].[SUBCUENTA]" caption="SUBCUENTA" attribute="1" defaultMemberUniqueName="[BD].[SUBCUENTA].[All]" allUniqueName="[BD].[SUBCUENTA].[All]" dimensionUniqueName="[BD]" displayFolder="" count="0" memberValueDatatype="130" unbalanced="0"/>
    <cacheHierarchy uniqueName="[BD].[MOTIVO]" caption="MOTIVO" attribute="1" defaultMemberUniqueName="[BD].[MOTIVO].[All]" allUniqueName="[BD].[MOTIVO].[All]" dimensionUniqueName="[BD]" displayFolder="" count="2" memberValueDatatype="130" unbalanced="0">
      <fieldsUsage count="2">
        <fieldUsage x="-1"/>
        <fieldUsage x="1"/>
      </fieldsUsage>
    </cacheHierarchy>
    <cacheHierarchy uniqueName="[BD].[MONTO]" caption="MONTO" attribute="1" defaultMemberUniqueName="[BD].[MONTO].[All]" allUniqueName="[BD].[MONTO].[All]" dimensionUniqueName="[BD]" displayFolder="" count="0" memberValueDatatype="5" unbalanced="0"/>
    <cacheHierarchy uniqueName="[BD].[FECHA]" caption="FECHA" attribute="1" time="1" defaultMemberUniqueName="[BD].[FECHA].[All]" allUniqueName="[BD].[FECHA].[All]" dimensionUniqueName="[BD]" displayFolder="" count="0" memberValueDatatype="7" unbalanced="0"/>
    <cacheHierarchy uniqueName="[BD].[MONTO_MOD]" caption="MONTO_MOD" attribute="1" defaultMemberUniqueName="[BD].[MONTO_MOD].[All]" allUniqueName="[BD].[MONTO_MOD].[All]" dimensionUniqueName="[BD]" displayFolder="" count="0" memberValueDatatype="5" unbalanced="0"/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0" unbalanced="0"/>
    <cacheHierarchy uniqueName="[Calendar].[Year]" caption="Year" attribute="1" time="1" defaultMemberUniqueName="[Calendar].[Year].[All]" allUniqueName="[Calendar].[Year].[All]" dimensionUniqueName="[Calendar]" displayFolder="" count="0" memberValueDatatype="20" unbalanced="0"/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0" memberValueDatatype="130" unbalanced="0"/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Calendar].[mes_corto]" caption="mes_corto" attribute="1" time="1" defaultMemberUniqueName="[Calendar].[mes_corto].[All]" allUniqueName="[Calendar].[mes_corto].[All]" dimensionUniqueName="[Calendar]" displayFolder="" count="2" memberValueDatatype="130" unbalanced="0">
      <fieldsUsage count="2">
        <fieldUsage x="-1"/>
        <fieldUsage x="2"/>
      </fieldsUsage>
    </cacheHierarchy>
    <cacheHierarchy uniqueName="[Measures].[TOTAL_INGRESO]" caption="TOTAL_INGRESO" measure="1" displayFolder="" measureGroup="BD" count="0"/>
    <cacheHierarchy uniqueName="[Measures].[TOTAL_EGRESO]" caption="TOTAL_EGRESO" measure="1" displayFolder="" measureGroup="BD" count="0" oneField="1">
      <fieldsUsage count="1">
        <fieldUsage x="0"/>
      </fieldsUsage>
    </cacheHierarchy>
    <cacheHierarchy uniqueName="[Measures].[SALDO]" caption="SALDO" measure="1" displayFolder="" measureGroup="BD" count="0"/>
    <cacheHierarchy uniqueName="[Measures].[PORCENTAJE]" caption="PORCENTAJE" measure="1" displayFolder="" measureGroup="BD" count="0"/>
    <cacheHierarchy uniqueName="[Measures].[__XL_Count BD]" caption="__XL_Count BD" measure="1" displayFolder="" measureGroup="BD" count="0" hidden="1"/>
    <cacheHierarchy uniqueName="[Measures].[__XL_Count Calendar]" caption="__XL_Count Calendar" measure="1" displayFolder="" measureGroup="Calendar" count="0" hidden="1"/>
    <cacheHierarchy uniqueName="[Measures].[__No hay medidas definidas]" caption="__No hay medidas definidas" measure="1" displayFolder="" count="0" hidden="1"/>
    <cacheHierarchy uniqueName="[Measures].[Recuento de MOTIVO]" caption="Recuento de MOTIVO" measure="1" displayFolder="" measureGroup="BD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_MOD]" caption="Suma de MONTO_MOD" measure="1" displayFolder="" measureGroup="BD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3">
    <dimension name="BD" uniqueName="[BD]" caption="BD"/>
    <dimension name="Calendar" uniqueName="[Calendar]" caption="Calendar"/>
    <dimension measure="1" name="Measures" uniqueName="[Measures]" caption="Measures"/>
  </dimensions>
  <measureGroups count="2">
    <measureGroup name="BD" caption="BD"/>
    <measureGroup name="Calendar" caption="Calendar"/>
  </measureGroups>
  <maps count="3">
    <map measureGroup="0" dimension="0"/>
    <map measureGroup="0" dimension="1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ULIO" refreshedDate="45709.745756365737" backgroundQuery="1" createdVersion="8" refreshedVersion="8" minRefreshableVersion="3" recordCount="0" supportSubquery="1" supportAdvancedDrill="1" xr:uid="{722BA91E-0EB4-4C34-B85B-CFFF5D6273EC}">
  <cacheSource type="external" connectionId="2"/>
  <cacheFields count="2">
    <cacheField name="[Measures].[TOTAL_INGRESO]" caption="TOTAL_INGRESO" numFmtId="0" hierarchy="16" level="32767"/>
    <cacheField name="[Calendar].[mes_corto].[mes_corto]" caption="mes_corto" numFmtId="0" hierarchy="15" level="1">
      <sharedItems containsSemiMixedTypes="0" containsNonDate="0" containsString="0"/>
    </cacheField>
  </cacheFields>
  <cacheHierarchies count="25">
    <cacheHierarchy uniqueName="[BD].[TIPO]" caption="TIPO" attribute="1" defaultMemberUniqueName="[BD].[TIPO].[All]" allUniqueName="[BD].[TIPO].[All]" dimensionUniqueName="[BD]" displayFolder="" count="0" memberValueDatatype="130" unbalanced="0"/>
    <cacheHierarchy uniqueName="[BD].[CUENTA]" caption="CUENTA" attribute="1" defaultMemberUniqueName="[BD].[CUENTA].[All]" allUniqueName="[BD].[CUENTA].[All]" dimensionUniqueName="[BD]" displayFolder="" count="0" memberValueDatatype="130" unbalanced="0"/>
    <cacheHierarchy uniqueName="[BD].[SUBCUENTA]" caption="SUBCUENTA" attribute="1" defaultMemberUniqueName="[BD].[SUBCUENTA].[All]" allUniqueName="[BD].[SUBCUENTA].[All]" dimensionUniqueName="[BD]" displayFolder="" count="0" memberValueDatatype="130" unbalanced="0"/>
    <cacheHierarchy uniqueName="[BD].[MOTIVO]" caption="MOTIVO" attribute="1" defaultMemberUniqueName="[BD].[MOTIVO].[All]" allUniqueName="[BD].[MOTIVO].[All]" dimensionUniqueName="[BD]" displayFolder="" count="0" memberValueDatatype="130" unbalanced="0"/>
    <cacheHierarchy uniqueName="[BD].[MONTO]" caption="MONTO" attribute="1" defaultMemberUniqueName="[BD].[MONTO].[All]" allUniqueName="[BD].[MONTO].[All]" dimensionUniqueName="[BD]" displayFolder="" count="0" memberValueDatatype="5" unbalanced="0"/>
    <cacheHierarchy uniqueName="[BD].[FECHA]" caption="FECHA" attribute="1" time="1" defaultMemberUniqueName="[BD].[FECHA].[All]" allUniqueName="[BD].[FECHA].[All]" dimensionUniqueName="[BD]" displayFolder="" count="0" memberValueDatatype="7" unbalanced="0"/>
    <cacheHierarchy uniqueName="[BD].[MONTO_MOD]" caption="MONTO_MOD" attribute="1" defaultMemberUniqueName="[BD].[MONTO_MOD].[All]" allUniqueName="[BD].[MONTO_MOD].[All]" dimensionUniqueName="[BD]" displayFolder="" count="0" memberValueDatatype="5" unbalanced="0"/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0" unbalanced="0"/>
    <cacheHierarchy uniqueName="[Calendar].[Year]" caption="Year" attribute="1" time="1" defaultMemberUniqueName="[Calendar].[Year].[All]" allUniqueName="[Calendar].[Year].[All]" dimensionUniqueName="[Calendar]" displayFolder="" count="0" memberValueDatatype="20" unbalanced="0"/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0" memberValueDatatype="130" unbalanced="0"/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Calendar].[mes_corto]" caption="mes_corto" attribute="1" time="1" defaultMemberUniqueName="[Calendar].[mes_corto].[All]" allUniqueName="[Calendar].[mes_corto].[All]" dimensionUniqueName="[Calendar]" displayFolder="" count="2" memberValueDatatype="130" unbalanced="0">
      <fieldsUsage count="2">
        <fieldUsage x="-1"/>
        <fieldUsage x="1"/>
      </fieldsUsage>
    </cacheHierarchy>
    <cacheHierarchy uniqueName="[Measures].[TOTAL_INGRESO]" caption="TOTAL_INGRESO" measure="1" displayFolder="" measureGroup="BD" count="0" oneField="1">
      <fieldsUsage count="1">
        <fieldUsage x="0"/>
      </fieldsUsage>
    </cacheHierarchy>
    <cacheHierarchy uniqueName="[Measures].[TOTAL_EGRESO]" caption="TOTAL_EGRESO" measure="1" displayFolder="" measureGroup="BD" count="0"/>
    <cacheHierarchy uniqueName="[Measures].[SALDO]" caption="SALDO" measure="1" displayFolder="" measureGroup="BD" count="0"/>
    <cacheHierarchy uniqueName="[Measures].[PORCENTAJE]" caption="PORCENTAJE" measure="1" displayFolder="" measureGroup="BD" count="0"/>
    <cacheHierarchy uniqueName="[Measures].[__XL_Count BD]" caption="__XL_Count BD" measure="1" displayFolder="" measureGroup="BD" count="0" hidden="1"/>
    <cacheHierarchy uniqueName="[Measures].[__XL_Count Calendar]" caption="__XL_Count Calendar" measure="1" displayFolder="" measureGroup="Calendar" count="0" hidden="1"/>
    <cacheHierarchy uniqueName="[Measures].[__No hay medidas definidas]" caption="__No hay medidas definidas" measure="1" displayFolder="" count="0" hidden="1"/>
    <cacheHierarchy uniqueName="[Measures].[Recuento de MOTIVO]" caption="Recuento de MOTIVO" measure="1" displayFolder="" measureGroup="BD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_MOD]" caption="Suma de MONTO_MOD" measure="1" displayFolder="" measureGroup="BD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3">
    <dimension name="BD" uniqueName="[BD]" caption="BD"/>
    <dimension name="Calendar" uniqueName="[Calendar]" caption="Calendar"/>
    <dimension measure="1" name="Measures" uniqueName="[Measures]" caption="Measures"/>
  </dimensions>
  <measureGroups count="2">
    <measureGroup name="BD" caption="BD"/>
    <measureGroup name="Calendar" caption="Calendar"/>
  </measureGroups>
  <maps count="3">
    <map measureGroup="0" dimension="0"/>
    <map measureGroup="0" dimension="1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ULIO" refreshedDate="45709.745757060184" backgroundQuery="1" createdVersion="8" refreshedVersion="8" minRefreshableVersion="3" recordCount="0" supportSubquery="1" supportAdvancedDrill="1" xr:uid="{EEA6B512-185A-463B-83CA-CE71A35EEED3}">
  <cacheSource type="external" connectionId="2"/>
  <cacheFields count="5">
    <cacheField name="[Measures].[TOTAL_INGRESO]" caption="TOTAL_INGRESO" numFmtId="0" hierarchy="16" level="32767"/>
    <cacheField name="[Measures].[TOTAL_EGRESO]" caption="TOTAL_EGRESO" numFmtId="0" hierarchy="17" level="32767"/>
    <cacheField name="[Measures].[SALDO]" caption="SALDO" numFmtId="0" hierarchy="18" level="32767"/>
    <cacheField name="[BD].[MOTIVO].[MOTIVO]" caption="MOTIVO" numFmtId="0" hierarchy="3" level="1">
      <sharedItems count="8">
        <s v="ALMUERZO"/>
        <s v="CACHUELO"/>
        <s v="DIVERSIÓN"/>
        <s v="GASTOS HORMIGAS"/>
        <s v="JUGOS"/>
        <s v="SALIDAS"/>
        <s v="SUELDO"/>
        <s v="UTP"/>
      </sharedItems>
    </cacheField>
    <cacheField name="[Calendar].[mes_corto].[mes_corto]" caption="mes_corto" numFmtId="0" hierarchy="15" level="1">
      <sharedItems containsSemiMixedTypes="0" containsNonDate="0" containsString="0"/>
    </cacheField>
  </cacheFields>
  <cacheHierarchies count="25">
    <cacheHierarchy uniqueName="[BD].[TIPO]" caption="TIPO" attribute="1" defaultMemberUniqueName="[BD].[TIPO].[All]" allUniqueName="[BD].[TIPO].[All]" dimensionUniqueName="[BD]" displayFolder="" count="0" memberValueDatatype="130" unbalanced="0"/>
    <cacheHierarchy uniqueName="[BD].[CUENTA]" caption="CUENTA" attribute="1" defaultMemberUniqueName="[BD].[CUENTA].[All]" allUniqueName="[BD].[CUENTA].[All]" dimensionUniqueName="[BD]" displayFolder="" count="0" memberValueDatatype="130" unbalanced="0"/>
    <cacheHierarchy uniqueName="[BD].[SUBCUENTA]" caption="SUBCUENTA" attribute="1" defaultMemberUniqueName="[BD].[SUBCUENTA].[All]" allUniqueName="[BD].[SUBCUENTA].[All]" dimensionUniqueName="[BD]" displayFolder="" count="0" memberValueDatatype="130" unbalanced="0"/>
    <cacheHierarchy uniqueName="[BD].[MOTIVO]" caption="MOTIVO" attribute="1" defaultMemberUniqueName="[BD].[MOTIVO].[All]" allUniqueName="[BD].[MOTIVO].[All]" dimensionUniqueName="[BD]" displayFolder="" count="2" memberValueDatatype="130" unbalanced="0">
      <fieldsUsage count="2">
        <fieldUsage x="-1"/>
        <fieldUsage x="3"/>
      </fieldsUsage>
    </cacheHierarchy>
    <cacheHierarchy uniqueName="[BD].[MONTO]" caption="MONTO" attribute="1" defaultMemberUniqueName="[BD].[MONTO].[All]" allUniqueName="[BD].[MONTO].[All]" dimensionUniqueName="[BD]" displayFolder="" count="0" memberValueDatatype="5" unbalanced="0"/>
    <cacheHierarchy uniqueName="[BD].[FECHA]" caption="FECHA" attribute="1" time="1" defaultMemberUniqueName="[BD].[FECHA].[All]" allUniqueName="[BD].[FECHA].[All]" dimensionUniqueName="[BD]" displayFolder="" count="0" memberValueDatatype="7" unbalanced="0"/>
    <cacheHierarchy uniqueName="[BD].[MONTO_MOD]" caption="MONTO_MOD" attribute="1" defaultMemberUniqueName="[BD].[MONTO_MOD].[All]" allUniqueName="[BD].[MONTO_MOD].[All]" dimensionUniqueName="[BD]" displayFolder="" count="0" memberValueDatatype="5" unbalanced="0"/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0" unbalanced="0"/>
    <cacheHierarchy uniqueName="[Calendar].[Year]" caption="Year" attribute="1" time="1" defaultMemberUniqueName="[Calendar].[Year].[All]" allUniqueName="[Calendar].[Year].[All]" dimensionUniqueName="[Calendar]" displayFolder="" count="0" memberValueDatatype="20" unbalanced="0"/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0" memberValueDatatype="130" unbalanced="0"/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Calendar].[mes_corto]" caption="mes_corto" attribute="1" time="1" defaultMemberUniqueName="[Calendar].[mes_corto].[All]" allUniqueName="[Calendar].[mes_corto].[All]" dimensionUniqueName="[Calendar]" displayFolder="" count="2" memberValueDatatype="130" unbalanced="0">
      <fieldsUsage count="2">
        <fieldUsage x="-1"/>
        <fieldUsage x="4"/>
      </fieldsUsage>
    </cacheHierarchy>
    <cacheHierarchy uniqueName="[Measures].[TOTAL_INGRESO]" caption="TOTAL_INGRESO" measure="1" displayFolder="" measureGroup="BD" count="0" oneField="1">
      <fieldsUsage count="1">
        <fieldUsage x="0"/>
      </fieldsUsage>
    </cacheHierarchy>
    <cacheHierarchy uniqueName="[Measures].[TOTAL_EGRESO]" caption="TOTAL_EGRESO" measure="1" displayFolder="" measureGroup="BD" count="0" oneField="1">
      <fieldsUsage count="1">
        <fieldUsage x="1"/>
      </fieldsUsage>
    </cacheHierarchy>
    <cacheHierarchy uniqueName="[Measures].[SALDO]" caption="SALDO" measure="1" displayFolder="" measureGroup="BD" count="0" oneField="1">
      <fieldsUsage count="1">
        <fieldUsage x="2"/>
      </fieldsUsage>
    </cacheHierarchy>
    <cacheHierarchy uniqueName="[Measures].[PORCENTAJE]" caption="PORCENTAJE" measure="1" displayFolder="" measureGroup="BD" count="0"/>
    <cacheHierarchy uniqueName="[Measures].[__XL_Count BD]" caption="__XL_Count BD" measure="1" displayFolder="" measureGroup="BD" count="0" hidden="1"/>
    <cacheHierarchy uniqueName="[Measures].[__XL_Count Calendar]" caption="__XL_Count Calendar" measure="1" displayFolder="" measureGroup="Calendar" count="0" hidden="1"/>
    <cacheHierarchy uniqueName="[Measures].[__No hay medidas definidas]" caption="__No hay medidas definidas" measure="1" displayFolder="" count="0" hidden="1"/>
    <cacheHierarchy uniqueName="[Measures].[Recuento de MOTIVO]" caption="Recuento de MOTIVO" measure="1" displayFolder="" measureGroup="BD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_MOD]" caption="Suma de MONTO_MOD" measure="1" displayFolder="" measureGroup="BD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3">
    <dimension name="BD" uniqueName="[BD]" caption="BD"/>
    <dimension name="Calendar" uniqueName="[Calendar]" caption="Calendar"/>
    <dimension measure="1" name="Measures" uniqueName="[Measures]" caption="Measures"/>
  </dimensions>
  <measureGroups count="2">
    <measureGroup name="BD" caption="BD"/>
    <measureGroup name="Calendar" caption="Calendar"/>
  </measureGroups>
  <maps count="3">
    <map measureGroup="0" dimension="0"/>
    <map measureGroup="0" dimension="1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ULIO" refreshedDate="45709.745758333331" backgroundQuery="1" createdVersion="8" refreshedVersion="8" minRefreshableVersion="3" recordCount="0" supportSubquery="1" supportAdvancedDrill="1" xr:uid="{0B77C6E0-489E-4122-B625-813E56AD4BEE}">
  <cacheSource type="external" connectionId="2"/>
  <cacheFields count="3">
    <cacheField name="[BD].[MOTIVO].[MOTIVO]" caption="MOTIVO" numFmtId="0" hierarchy="3" level="1">
      <sharedItems count="8">
        <s v="ALMUERZO"/>
        <s v="CACHUELO"/>
        <s v="DIVERSIÓN"/>
        <s v="GASTOS HORMIGAS"/>
        <s v="JUGOS"/>
        <s v="SALIDAS"/>
        <s v="SUELDO"/>
        <s v="UTP"/>
      </sharedItems>
    </cacheField>
    <cacheField name="[Measures].[Suma de MONTO_MOD]" caption="Suma de MONTO_MOD" numFmtId="0" hierarchy="24" level="32767"/>
    <cacheField name="[Calendar].[mes_corto].[mes_corto]" caption="mes_corto" numFmtId="0" hierarchy="15" level="1">
      <sharedItems containsSemiMixedTypes="0" containsNonDate="0" containsString="0"/>
    </cacheField>
  </cacheFields>
  <cacheHierarchies count="25">
    <cacheHierarchy uniqueName="[BD].[TIPO]" caption="TIPO" attribute="1" defaultMemberUniqueName="[BD].[TIPO].[All]" allUniqueName="[BD].[TIPO].[All]" dimensionUniqueName="[BD]" displayFolder="" count="0" memberValueDatatype="130" unbalanced="0"/>
    <cacheHierarchy uniqueName="[BD].[CUENTA]" caption="CUENTA" attribute="1" defaultMemberUniqueName="[BD].[CUENTA].[All]" allUniqueName="[BD].[CUENTA].[All]" dimensionUniqueName="[BD]" displayFolder="" count="0" memberValueDatatype="130" unbalanced="0"/>
    <cacheHierarchy uniqueName="[BD].[SUBCUENTA]" caption="SUBCUENTA" attribute="1" defaultMemberUniqueName="[BD].[SUBCUENTA].[All]" allUniqueName="[BD].[SUBCUENTA].[All]" dimensionUniqueName="[BD]" displayFolder="" count="0" memberValueDatatype="130" unbalanced="0"/>
    <cacheHierarchy uniqueName="[BD].[MOTIVO]" caption="MOTIVO" attribute="1" defaultMemberUniqueName="[BD].[MOTIVO].[All]" allUniqueName="[BD].[MOTIVO].[All]" dimensionUniqueName="[BD]" displayFolder="" count="2" memberValueDatatype="130" unbalanced="0">
      <fieldsUsage count="2">
        <fieldUsage x="-1"/>
        <fieldUsage x="0"/>
      </fieldsUsage>
    </cacheHierarchy>
    <cacheHierarchy uniqueName="[BD].[MONTO]" caption="MONTO" attribute="1" defaultMemberUniqueName="[BD].[MONTO].[All]" allUniqueName="[BD].[MONTO].[All]" dimensionUniqueName="[BD]" displayFolder="" count="0" memberValueDatatype="5" unbalanced="0"/>
    <cacheHierarchy uniqueName="[BD].[FECHA]" caption="FECHA" attribute="1" time="1" defaultMemberUniqueName="[BD].[FECHA].[All]" allUniqueName="[BD].[FECHA].[All]" dimensionUniqueName="[BD]" displayFolder="" count="0" memberValueDatatype="7" unbalanced="0"/>
    <cacheHierarchy uniqueName="[BD].[MONTO_MOD]" caption="MONTO_MOD" attribute="1" defaultMemberUniqueName="[BD].[MONTO_MOD].[All]" allUniqueName="[BD].[MONTO_MOD].[All]" dimensionUniqueName="[BD]" displayFolder="" count="0" memberValueDatatype="5" unbalanced="0"/>
    <cacheHierarchy uniqueName="[Calendar].[Date]" caption="Date" attribute="1" time="1" keyAttribute="1" defaultMemberUniqueName="[Calendar].[Date].[All]" allUniqueName="[Calendar].[Date].[All]" dimensionUniqueName="[Calendar]" displayFolder="" count="0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0" unbalanced="0"/>
    <cacheHierarchy uniqueName="[Calendar].[Year]" caption="Year" attribute="1" time="1" defaultMemberUniqueName="[Calendar].[Year].[All]" allUniqueName="[Calendar].[Year].[All]" dimensionUniqueName="[Calendar]" displayFolder="" count="0" memberValueDatatype="20" unbalanced="0"/>
    <cacheHierarchy uniqueName="[Calendar].[Month Number]" caption="Month Number" attribute="1" time="1" defaultMemberUniqueName="[Calendar].[Month Number].[All]" allUniqueName="[Calendar].[Month Number].[All]" dimensionUniqueName="[Calendar]" displayFolder="" count="0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0" memberValueDatatype="130" unbalanced="0"/>
    <cacheHierarchy uniqueName="[Calendar].[MMM-YYYY]" caption="MMM-YYYY" attribute="1" time="1" defaultMemberUniqueName="[Calendar].[MMM-YYYY].[All]" allUniqueName="[Calendar].[MMM-YYYY].[All]" dimensionUniqueName="[Calendar]" displayFolder="" count="0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0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0" memberValueDatatype="130" unbalanced="0"/>
    <cacheHierarchy uniqueName="[Calendar].[mes_corto]" caption="mes_corto" attribute="1" time="1" defaultMemberUniqueName="[Calendar].[mes_corto].[All]" allUniqueName="[Calendar].[mes_corto].[All]" dimensionUniqueName="[Calendar]" displayFolder="" count="2" memberValueDatatype="130" unbalanced="0">
      <fieldsUsage count="2">
        <fieldUsage x="-1"/>
        <fieldUsage x="2"/>
      </fieldsUsage>
    </cacheHierarchy>
    <cacheHierarchy uniqueName="[Measures].[TOTAL_INGRESO]" caption="TOTAL_INGRESO" measure="1" displayFolder="" measureGroup="BD" count="0"/>
    <cacheHierarchy uniqueName="[Measures].[TOTAL_EGRESO]" caption="TOTAL_EGRESO" measure="1" displayFolder="" measureGroup="BD" count="0"/>
    <cacheHierarchy uniqueName="[Measures].[SALDO]" caption="SALDO" measure="1" displayFolder="" measureGroup="BD" count="0"/>
    <cacheHierarchy uniqueName="[Measures].[PORCENTAJE]" caption="PORCENTAJE" measure="1" displayFolder="" measureGroup="BD" count="0"/>
    <cacheHierarchy uniqueName="[Measures].[__XL_Count BD]" caption="__XL_Count BD" measure="1" displayFolder="" measureGroup="BD" count="0" hidden="1"/>
    <cacheHierarchy uniqueName="[Measures].[__XL_Count Calendar]" caption="__XL_Count Calendar" measure="1" displayFolder="" measureGroup="Calendar" count="0" hidden="1"/>
    <cacheHierarchy uniqueName="[Measures].[__No hay medidas definidas]" caption="__No hay medidas definidas" measure="1" displayFolder="" count="0" hidden="1"/>
    <cacheHierarchy uniqueName="[Measures].[Recuento de MOTIVO]" caption="Recuento de MOTIVO" measure="1" displayFolder="" measureGroup="BD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_MOD]" caption="Suma de MONTO_MOD" measure="1" displayFolder="" measureGroup="B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3">
    <dimension name="BD" uniqueName="[BD]" caption="BD"/>
    <dimension name="Calendar" uniqueName="[Calendar]" caption="Calendar"/>
    <dimension measure="1" name="Measures" uniqueName="[Measures]" caption="Measures"/>
  </dimensions>
  <measureGroups count="2">
    <measureGroup name="BD" caption="BD"/>
    <measureGroup name="Calendar" caption="Calendar"/>
  </measureGroups>
  <maps count="3">
    <map measureGroup="0" dimension="0"/>
    <map measureGroup="0" dimension="1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ULIO" refreshedDate="45709.744117708331" backgroundQuery="1" createdVersion="3" refreshedVersion="8" minRefreshableVersion="3" recordCount="0" supportSubquery="1" supportAdvancedDrill="1" xr:uid="{4DBA6B1E-33E8-493E-BA79-B6470D2E67FF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26">
    <cacheHierarchy uniqueName="[BD].[TIPO]" caption="TIPO" attribute="1" defaultMemberUniqueName="[BD].[TIPO].[All]" allUniqueName="[BD].[TIPO].[All]" dimensionUniqueName="[BD]" displayFolder="" count="2" memberValueDatatype="130" unbalanced="0"/>
    <cacheHierarchy uniqueName="[BD].[CUENTA]" caption="CUENTA" attribute="1" defaultMemberUniqueName="[BD].[CUENTA].[All]" allUniqueName="[BD].[CUENTA].[All]" dimensionUniqueName="[BD]" displayFolder="" count="2" memberValueDatatype="130" unbalanced="0"/>
    <cacheHierarchy uniqueName="[BD].[SUBCUENTA]" caption="SUBCUENTA" attribute="1" defaultMemberUniqueName="[BD].[SUBCUENTA].[All]" allUniqueName="[BD].[SUBCUENTA].[All]" dimensionUniqueName="[BD]" displayFolder="" count="2" memberValueDatatype="130" unbalanced="0"/>
    <cacheHierarchy uniqueName="[BD].[MOTIVO]" caption="MOTIVO" attribute="1" defaultMemberUniqueName="[BD].[MOTIVO].[All]" allUniqueName="[BD].[MOTIVO].[All]" dimensionUniqueName="[BD]" displayFolder="" count="2" memberValueDatatype="130" unbalanced="0"/>
    <cacheHierarchy uniqueName="[BD].[MONTO]" caption="MONTO" attribute="1" defaultMemberUniqueName="[BD].[MONTO].[All]" allUniqueName="[BD].[MONTO].[All]" dimensionUniqueName="[BD]" displayFolder="" count="2" memberValueDatatype="5" unbalanced="0"/>
    <cacheHierarchy uniqueName="[BD].[FECHA]" caption="FECHA" attribute="1" time="1" defaultMemberUniqueName="[BD].[FECHA].[All]" allUniqueName="[BD].[FECHA].[All]" dimensionUniqueName="[BD]" displayFolder="" count="2" memberValueDatatype="7" unbalanced="0"/>
    <cacheHierarchy uniqueName="[BD].[MONTO_MOD]" caption="MONTO_MOD" attribute="1" defaultMemberUniqueName="[BD].[MONTO_MOD].[All]" allUniqueName="[BD].[MONTO_MOD].[All]" dimensionUniqueName="[BD]" displayFolder="" count="2" memberValueDatatype="5" unbalanced="0"/>
    <cacheHierarchy uniqueName="[Calendar].[Date]" caption="Date" attribute="1" time="1" keyAttribute="1" defaultMemberUniqueName="[Calendar].[Date].[All]" allUniqueName="[Calendar].[Date].[All]" dimensionUniqueName="[Calendar]" displayFolder="" count="2" memberValueDatatype="7" unbalanced="0"/>
    <cacheHierarchy uniqueName="[Calendar].[Date Hierarchy]" caption="Date Hierarchy" time="1" defaultMemberUniqueName="[Calendar].[Date Hierarchy].[All]" allUniqueName="[Calendar].[Date Hierarchy].[All]" dimensionUniqueName="[Calendar]" displayFolder="" count="4" unbalanced="0"/>
    <cacheHierarchy uniqueName="[Calendar].[Year]" caption="Year" attribute="1" time="1" defaultMemberUniqueName="[Calendar].[Year].[All]" allUniqueName="[Calendar].[Year].[All]" dimensionUniqueName="[Calendar]" displayFolder="" count="2" memberValueDatatype="20" unbalanced="0"/>
    <cacheHierarchy uniqueName="[Calendar].[Month Number]" caption="Month Number" attribute="1" time="1" defaultMemberUniqueName="[Calendar].[Month Number].[All]" allUniqueName="[Calendar].[Month Number].[All]" dimensionUniqueName="[Calendar]" displayFolder="" count="2" memberValueDatatype="20" unbalanced="0"/>
    <cacheHierarchy uniqueName="[Calendar].[Month]" caption="Month" attribute="1" time="1" defaultMemberUniqueName="[Calendar].[Month].[All]" allUniqueName="[Calendar].[Month].[All]" dimensionUniqueName="[Calendar]" displayFolder="" count="2" memberValueDatatype="130" unbalanced="0"/>
    <cacheHierarchy uniqueName="[Calendar].[MMM-YYYY]" caption="MMM-YYYY" attribute="1" time="1" defaultMemberUniqueName="[Calendar].[MMM-YYYY].[All]" allUniqueName="[Calendar].[MMM-YYYY].[All]" dimensionUniqueName="[Calendar]" displayFolder="" count="2" memberValueDatatype="130" unbalanced="0"/>
    <cacheHierarchy uniqueName="[Calendar].[Day Of Week Number]" caption="Day Of Week Number" attribute="1" time="1" defaultMemberUniqueName="[Calendar].[Day Of Week Number].[All]" allUniqueName="[Calendar].[Day Of Week Number].[All]" dimensionUniqueName="[Calendar]" displayFolder="" count="2" memberValueDatatype="20" unbalanced="0"/>
    <cacheHierarchy uniqueName="[Calendar].[Day Of Week]" caption="Day Of Week" attribute="1" time="1" defaultMemberUniqueName="[Calendar].[Day Of Week].[All]" allUniqueName="[Calendar].[Day Of Week].[All]" dimensionUniqueName="[Calendar]" displayFolder="" count="2" memberValueDatatype="130" unbalanced="0"/>
    <cacheHierarchy uniqueName="[Calendar].[mes_corto]" caption="mes_corto" attribute="1" time="1" defaultMemberUniqueName="[Calendar].[mes_corto].[All]" allUniqueName="[Calendar].[mes_corto].[All]" dimensionUniqueName="[Calendar]" displayFolder="" count="2" memberValueDatatype="130" unbalanced="0"/>
    <cacheHierarchy uniqueName="[Measures]" caption="Measures" attribute="1" keyAttribute="1" defaultMemberUniqueName="[Measures].[__No hay medidas definidas]" dimensionUniqueName="[Measures]" displayFolder="" measures="1" count="1" memberValueDatatype="130" unbalanced="0"/>
    <cacheHierarchy uniqueName="[Measures].[TOTAL_INGRESO]" caption="TOTAL_INGRESO" measure="1" displayFolder="" measureGroup="BD" count="0"/>
    <cacheHierarchy uniqueName="[Measures].[TOTAL_EGRESO]" caption="TOTAL_EGRESO" measure="1" displayFolder="" measureGroup="BD" count="0"/>
    <cacheHierarchy uniqueName="[Measures].[SALDO]" caption="SALDO" measure="1" displayFolder="" measureGroup="BD" count="0"/>
    <cacheHierarchy uniqueName="[Measures].[PORCENTAJE]" caption="PORCENTAJE" measure="1" displayFolder="" measureGroup="BD" count="0"/>
    <cacheHierarchy uniqueName="[Measures].[__XL_Count BD]" caption="__XL_Count BD" measure="1" displayFolder="" measureGroup="BD" count="0" hidden="1"/>
    <cacheHierarchy uniqueName="[Measures].[__XL_Count Calendar]" caption="__XL_Count Calendar" measure="1" displayFolder="" measureGroup="Calendar" count="0" hidden="1"/>
    <cacheHierarchy uniqueName="[Measures].[__No hay medidas definidas]" caption="__No hay medidas definidas" measure="1" displayFolder="" count="0" hidden="1"/>
    <cacheHierarchy uniqueName="[Measures].[Recuento de MOTIVO]" caption="Recuento de MOTIVO" measure="1" displayFolder="" measureGroup="BD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_MOD]" caption="Suma de MONTO_MOD" measure="1" displayFolder="" measureGroup="BD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3">
    <dimension name="BD" uniqueName="[BD]" caption="BD"/>
    <dimension name="Calendar" uniqueName="[Calendar]" caption="Calendar"/>
    <dimension measure="1" name="Measures" uniqueName="[Measures]" caption="Measures"/>
  </dimensions>
  <measureGroups count="2">
    <measureGroup name="BD" caption="BD"/>
    <measureGroup name="Calendar" caption="Calendar"/>
  </measureGroups>
  <maps count="3">
    <map measureGroup="0" dimension="0"/>
    <map measureGroup="0" dimension="1"/>
    <map measureGroup="1" dimension="1"/>
  </maps>
  <extLst>
    <ext xmlns:x14="http://schemas.microsoft.com/office/spreadsheetml/2009/9/main" uri="{725AE2AE-9491-48be-B2B4-4EB974FC3084}">
      <x14:pivotCacheDefinition slicerData="1" pivotCacheId="545385432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4AD76F-5932-405E-A7EF-CF453CC5683A}" name="TablaDinámica3" cacheId="3" applyNumberFormats="0" applyBorderFormats="0" applyFontFormats="0" applyPatternFormats="0" applyAlignmentFormats="0" applyWidthHeightFormats="1" dataCaption="Valores" tag="fa225111-facb-425a-a2d7-384326239154" updatedVersion="8" minRefreshableVersion="3" useAutoFormatting="1" subtotalHiddenItems="1" itemPrintTitles="1" createdVersion="8" indent="0" outline="1" outlineData="1" multipleFieldFilters="0">
  <location ref="I1:J8" firstHeaderRow="1" firstDataRow="1" firstDataCol="1"/>
  <pivotFields count="3">
    <pivotField dataField="1" subtotalTop="0" showAll="0" defaultSubtotal="0"/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llDrilled="1" subtotalTop="0" showAll="0" dataSourceSort="1" defaultSubtotal="0" defaultAttributeDrillState="1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fld="0" subtotal="count" baseField="0" baseItem="0"/>
  </dataFields>
  <pivotHierarchies count="2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D]"/>
        <x15:activeTabTopLevelEntity name="[Calenda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4A9A6D-D3D7-427C-82F7-56D3E0784D39}" name="TablaDinámica1" cacheId="2" applyNumberFormats="0" applyBorderFormats="0" applyFontFormats="0" applyPatternFormats="0" applyAlignmentFormats="0" applyWidthHeightFormats="1" dataCaption="Valores" tag="82f14232-c643-46a4-852b-a7b027a2be45" updatedVersion="8" minRefreshableVersion="3" useAutoFormatting="1" subtotalHiddenItems="1" itemPrintTitles="1" createdVersion="8" indent="0" outline="1" outlineData="1" multipleFieldFilters="0" chartFormat="1">
  <location ref="A1:C2" firstHeaderRow="0" firstDataRow="1" firstDataCol="0"/>
  <pivotFields count="4"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fld="0" subtotal="count" baseField="0" baseItem="0" numFmtId="164"/>
    <dataField fld="1" subtotal="count" baseField="0" baseItem="0"/>
    <dataField fld="2" subtotal="count" baseField="0" baseItem="0"/>
  </dataFields>
  <formats count="1">
    <format dxfId="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Hierarchies count="2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1C793B-CCC1-44F6-AA27-33081D984C5A}" name="TablaDinámica7" cacheId="6" applyNumberFormats="0" applyBorderFormats="0" applyFontFormats="0" applyPatternFormats="0" applyAlignmentFormats="0" applyWidthHeightFormats="1" dataCaption="Valores" tag="e7c9824c-c977-4b58-b913-3a72e8355b33" updatedVersion="8" minRefreshableVersion="3" useAutoFormatting="1" subtotalHiddenItems="1" itemPrintTitles="1" createdVersion="8" indent="0" outline="1" outlineData="1" multipleFieldFilters="0">
  <location ref="K33:L42" firstHeaderRow="1" firstDataRow="1" firstDataCol="1"/>
  <pivotFields count="3">
    <pivotField axis="axisRow" allDrilled="1" subtotalTop="0" showAll="0" sortType="descending" defaultSubtotal="0" defaultAttributeDrillState="1">
      <items count="8">
        <item x="0"/>
        <item x="1"/>
        <item x="2"/>
        <item x="3"/>
        <item x="4"/>
        <item x="5"/>
        <item x="6"/>
        <item x="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9">
    <i>
      <x v="6"/>
    </i>
    <i>
      <x v="1"/>
    </i>
    <i>
      <x v="4"/>
    </i>
    <i>
      <x v="2"/>
    </i>
    <i>
      <x v="7"/>
    </i>
    <i>
      <x v="3"/>
    </i>
    <i>
      <x v="5"/>
    </i>
    <i>
      <x/>
    </i>
    <i t="grand">
      <x/>
    </i>
  </rowItems>
  <colItems count="1">
    <i/>
  </colItems>
  <dataFields count="1">
    <dataField name="Suma de MONTO_MOD" fld="1" baseField="0" baseItem="0"/>
  </dataFields>
  <pivotHierarchies count="2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D]"/>
        <x15:activeTabTopLevelEntity name="[Calendari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A07806-686A-49FB-94A6-C8B5C20E998D}" name="TablaDinámica2" cacheId="1" applyNumberFormats="0" applyBorderFormats="0" applyFontFormats="0" applyPatternFormats="0" applyAlignmentFormats="0" applyWidthHeightFormats="1" dataCaption="Valores" tag="8f2d7b09-b07d-496b-a223-e3be88f268dd" updatedVersion="8" minRefreshableVersion="3" useAutoFormatting="1" subtotalHiddenItems="1" itemPrintTitles="1" createdVersion="8" indent="0" outline="1" outlineData="1" multipleFieldFilters="0" chartFormat="14">
  <location ref="E1:G9" firstHeaderRow="0" firstDataRow="1" firstDataCol="1"/>
  <pivotFields count="3"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fld="0" subtotal="count" baseField="0" baseItem="0"/>
    <dataField fld="1" subtotal="count" baseField="0" baseItem="0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D]"/>
        <x15:activeTabTopLevelEntity name="[Calenda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95DED6-0134-454A-AF37-D30B80808ABA}" name="TablaDinámica4" cacheId="0" applyNumberFormats="0" applyBorderFormats="0" applyFontFormats="0" applyPatternFormats="0" applyAlignmentFormats="0" applyWidthHeightFormats="1" dataCaption="Valores" tag="75082128-2962-4e40-9e39-3bc9cfe3eb65" updatedVersion="8" minRefreshableVersion="3" useAutoFormatting="1" itemPrintTitles="1" createdVersion="8" indent="0" outline="1" outlineData="1" multipleFieldFilters="0">
  <location ref="L1:M4" firstHeaderRow="1" firstDataRow="1" firstDataCol="1"/>
  <pivotFields count="2"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fld="0" subtotal="count" baseField="0" baseItem="0"/>
  </dataFields>
  <pivotHierarchies count="2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20FAE3-C307-4670-A219-8669E7C2F628}" name="TablaDinámica6" cacheId="5" applyNumberFormats="0" applyBorderFormats="0" applyFontFormats="0" applyPatternFormats="0" applyAlignmentFormats="0" applyWidthHeightFormats="1" dataCaption="Valores" tag="bdfb49da-a516-4878-a97d-7736261e6a74" updatedVersion="8" minRefreshableVersion="3" useAutoFormatting="1" subtotalHiddenItems="1" rowGrandTotals="0" itemPrintTitles="1" createdVersion="8" indent="0" outline="1" outlineData="1" multipleFieldFilters="0" rowHeaderCaption="">
  <location ref="P3:S11" firstHeaderRow="0" firstDataRow="1" firstDataCol="1"/>
  <pivotFields count="5"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sortType="descending" defaultSubtotal="0" defaultAttributeDrillState="1">
      <items count="8">
        <item x="0"/>
        <item x="1"/>
        <item x="2"/>
        <item x="3"/>
        <item x="4"/>
        <item x="5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allDrilled="1" subtotalTop="0" showAll="0" dataSourceSort="1" defaultSubtotal="0" defaultAttributeDrillState="1"/>
  </pivotFields>
  <rowFields count="1">
    <field x="3"/>
  </rowFields>
  <rowItems count="8">
    <i>
      <x/>
    </i>
    <i>
      <x v="5"/>
    </i>
    <i>
      <x v="3"/>
    </i>
    <i>
      <x v="7"/>
    </i>
    <i>
      <x v="2"/>
    </i>
    <i>
      <x v="4"/>
    </i>
    <i>
      <x v="1"/>
    </i>
    <i>
      <x v="6"/>
    </i>
  </rowItems>
  <colFields count="1">
    <field x="-2"/>
  </colFields>
  <colItems count="3">
    <i>
      <x/>
    </i>
    <i i="1">
      <x v="1"/>
    </i>
    <i i="2">
      <x v="2"/>
    </i>
  </colItems>
  <dataFields count="3">
    <dataField fld="0" subtotal="count" baseField="0" baseItem="0"/>
    <dataField fld="1" subtotal="count" baseField="0" baseItem="0"/>
    <dataField fld="2" subtotal="count" baseField="0" baseItem="0"/>
  </dataFields>
  <formats count="7">
    <format dxfId="7">
      <pivotArea field="3" type="button" dataOnly="0" labelOnly="1" outline="0" axis="axisRow" fieldPosition="0"/>
    </format>
    <format dxfId="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3" type="button" dataOnly="0" labelOnly="1" outline="0" axis="axisRow" fieldPosition="0"/>
    </format>
    <format dxfId="2">
      <pivotArea dataOnly="0" labelOnly="1" fieldPosition="0">
        <references count="1">
          <reference field="3" count="0"/>
        </references>
      </pivotArea>
    </format>
    <format dxfId="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3">
    <conditionalFormat priority="3">
      <pivotAreas count="1">
        <pivotArea type="data" outline="0" collapsedLevelsAreSubtotals="1" fieldPosition="0">
          <references count="1">
            <reference field="4294967294" count="2" selected="0">
              <x v="0"/>
              <x v="1"/>
            </reference>
          </references>
        </pivotArea>
      </pivotAreas>
    </conditionalFormat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Hierarchies count="2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ario]"/>
        <x15:activeTabTopLevelEntity name="[B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E32358-DE71-41BF-9788-377876B0CA63}" name="TablaDinámica5" cacheId="4" applyNumberFormats="0" applyBorderFormats="0" applyFontFormats="0" applyPatternFormats="0" applyAlignmentFormats="0" applyWidthHeightFormats="1" dataCaption="Valores" tag="b4eab71b-1e53-4049-8c7c-0835ad6c9857" updatedVersion="8" minRefreshableVersion="3" useAutoFormatting="1" subtotalHiddenItems="1" itemPrintTitles="1" createdVersion="8" indent="0" outline="1" outlineData="1" multipleFieldFilters="0">
  <location ref="P17:P18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fld="0" subtotal="count" baseField="0" baseItem="0" numFmtId="166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pivotHierarchies count="2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corto" xr10:uid="{D17CC489-2526-4E62-891D-3A8B96481C9E}" sourceName="[Calendar].[mes_corto]">
  <pivotTables>
    <pivotTable tabId="3" name="TablaDinámica1"/>
    <pivotTable tabId="3" name="TablaDinámica2"/>
    <pivotTable tabId="3" name="TablaDinámica3"/>
    <pivotTable tabId="3" name="TablaDinámica5"/>
    <pivotTable tabId="3" name="TablaDinámica6"/>
    <pivotTable tabId="3" name="TablaDinámica7"/>
  </pivotTables>
  <data>
    <olap pivotCacheId="545385432">
      <levels count="2">
        <level uniqueName="[Calendar].[mes_corto].[(All)]" sourceCaption="(All)" count="0"/>
        <level uniqueName="[Calendar].[mes_corto].[mes_corto]" sourceCaption="mes_corto" count="12">
          <ranges>
            <range startItem="0">
              <i n="[Calendar].[mes_corto].&amp;[ene]" c="ene"/>
              <i n="[Calendar].[mes_corto].&amp;[feb]" c="feb"/>
              <i n="[Calendar].[mes_corto].&amp;[mar]" c="mar"/>
              <i n="[Calendar].[mes_corto].&amp;[abr]" c="abr"/>
              <i n="[Calendar].[mes_corto].&amp;[jun]" c="jun"/>
              <i n="[Calendar].[mes_corto].&amp;[jul]" c="jul"/>
              <i n="[Calendar].[mes_corto].&amp;[ago]" c="ago"/>
              <i n="[Calendar].[mes_corto].&amp;[may]" c="may" nd="1"/>
              <i n="[Calendar].[mes_corto].&amp;[sep]" c="sep" nd="1"/>
              <i n="[Calendar].[mes_corto].&amp;[oct]" c="oct" nd="1"/>
              <i n="[Calendar].[mes_corto].&amp;[nov]" c="nov" nd="1"/>
              <i n="[Calendar].[mes_corto].&amp;[dic]" c="dic" nd="1"/>
            </range>
          </ranges>
        </level>
      </levels>
      <selections count="1">
        <selection n="[Calendar].[mes_corto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_corto" xr10:uid="{725A47F6-6350-4282-9947-729419135AF0}" cache="SegmentaciónDeDatos_mes_corto" caption="mes_corto" columnCount="3" level="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0602F04-8D5B-4DA2-97E0-8830ABFD8895}" name="BD" displayName="BD" ref="A1:F210" totalsRowShown="0">
  <autoFilter ref="A1:F210" xr:uid="{30602F04-8D5B-4DA2-97E0-8830ABFD8895}"/>
  <tableColumns count="6">
    <tableColumn id="1" xr3:uid="{391B7D64-C579-4DD8-A299-91DBA1859A8E}" name="TIPO"/>
    <tableColumn id="2" xr3:uid="{6BF153F1-52E9-424F-AEAD-1EA7A3CAB7B0}" name="CUENTA"/>
    <tableColumn id="3" xr3:uid="{13A93307-08DA-4522-94A2-D68DB4C914D6}" name="SUBCUENTA"/>
    <tableColumn id="4" xr3:uid="{86D23C72-8CD9-40FB-A639-E330931E734F}" name="MOTIVO"/>
    <tableColumn id="5" xr3:uid="{C9843D18-2D9E-40D7-A398-89F066FE8E77}" name="MONTO" dataDxfId="11"/>
    <tableColumn id="6" xr3:uid="{4754BAC7-0493-45E6-B80F-ADE9E964E979}" name="FECHA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E82F0-1F6B-43A9-9369-C49875696D88}" name="T_TIPO" displayName="T_TIPO" ref="A1:A3" totalsRowShown="0">
  <autoFilter ref="A1:A3" xr:uid="{A76E82F0-1F6B-43A9-9369-C49875696D88}"/>
  <tableColumns count="1">
    <tableColumn id="1" xr3:uid="{B63F93B1-4715-4DF5-B379-9116716CE422}" name="TIP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9CB6AB-5500-4B4B-9D3B-E5C361C33E10}" name="T_CUENTA" displayName="T_CUENTA" ref="C1:C4" totalsRowShown="0">
  <autoFilter ref="C1:C4" xr:uid="{3F9CB6AB-5500-4B4B-9D3B-E5C361C33E10}"/>
  <tableColumns count="1">
    <tableColumn id="1" xr3:uid="{B5215402-13A5-48BF-8D39-F80A29DA018A}" name="CUENT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7DC59C5-CBF6-4B45-A197-16E98B9F54F5}" name="T_INGRESO" displayName="T_INGRESO" ref="E1:E2" totalsRowShown="0">
  <autoFilter ref="E1:E2" xr:uid="{C7DC59C5-CBF6-4B45-A197-16E98B9F54F5}"/>
  <tableColumns count="1">
    <tableColumn id="1" xr3:uid="{1D377682-6BAC-46F7-9DC5-B97D3D581504}" name="INGRES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0E606F3-7C71-4E7E-BE20-3C6EA532330E}" name="T_EGRESO" displayName="T_EGRESO" ref="G1:G5" totalsRowShown="0">
  <autoFilter ref="G1:G5" xr:uid="{40E606F3-7C71-4E7E-BE20-3C6EA532330E}"/>
  <tableColumns count="1">
    <tableColumn id="1" xr3:uid="{324EE84F-DA91-48C6-9C33-8A8E38B50466}" name="EGRESO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CD6F51E-6AE5-4E85-99EC-CF397F8A336E}" name="T_GASTOS_FIJOS" displayName="T_GASTOS_FIJOS" ref="I1:I2" totalsRowShown="0">
  <autoFilter ref="I1:I2" xr:uid="{5CD6F51E-6AE5-4E85-99EC-CF397F8A336E}"/>
  <tableColumns count="1">
    <tableColumn id="1" xr3:uid="{3CA94A0B-9092-4126-BE36-463ABACB132F}" name="GASTOS_FIJO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D314AA-0A78-4E38-9739-E8CE7370234A}" name="T_GASTOS_PERSONALES" displayName="T_GASTOS_PERSONALES" ref="K1:K3" totalsRowShown="0">
  <autoFilter ref="K1:K3" xr:uid="{6AD314AA-0A78-4E38-9739-E8CE7370234A}"/>
  <tableColumns count="1">
    <tableColumn id="1" xr3:uid="{12174C61-EBE5-4C4D-B829-1356FB761383}" name="GASTOS_PERSONALE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482D388-53E7-4E07-8DF6-B5466B0427E3}" name="T_DIVERSION" displayName="T_DIVERSION" ref="M1:M3" totalsRowShown="0">
  <autoFilter ref="M1:M3" xr:uid="{C482D388-53E7-4E07-8DF6-B5466B0427E3}"/>
  <tableColumns count="1">
    <tableColumn id="1" xr3:uid="{4204467C-C42A-4953-9A2D-757240B1FC8E}" name="DIVERSIÓ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72104F6-0D6D-467C-9501-99C40EBDE31F}" name="T_EDUCACION" displayName="T_EDUCACION" ref="O1:O4" totalsRowShown="0">
  <autoFilter ref="O1:O4" xr:uid="{772104F6-0D6D-467C-9501-99C40EBDE31F}"/>
  <tableColumns count="1">
    <tableColumn id="1" xr3:uid="{D260A689-B574-43AB-A026-2575D250BBE1}" name="EDUCACIÓN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A282C11-FEA2-4685-9961-30890EB62EE1}" name="T_TRABAJO" displayName="T_TRABAJO" ref="Q1:Q3" totalsRowShown="0">
  <autoFilter ref="Q1:Q3" xr:uid="{FA282C11-FEA2-4685-9961-30890EB62EE1}"/>
  <tableColumns count="1">
    <tableColumn id="1" xr3:uid="{D59F22B1-0F19-43AF-A35A-0C3B6A0A3743}" name="TRABAJO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710F479-B691-4E3E-8ACB-7345B9880412}" name="T_SUBCUENTA" displayName="T_SUBCUENTA" ref="G9:G14" totalsRowShown="0">
  <autoFilter ref="G9:G14" xr:uid="{4710F479-B691-4E3E-8ACB-7345B9880412}"/>
  <tableColumns count="1">
    <tableColumn id="1" xr3:uid="{2E77944B-4B25-4E8B-9742-1F3CA8C37F24}" name="SUBCUENT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6C326-217D-4F6B-A3F4-524F9A391B19}">
  <dimension ref="A1:F210"/>
  <sheetViews>
    <sheetView workbookViewId="0">
      <selection activeCell="D111" sqref="D111"/>
    </sheetView>
  </sheetViews>
  <sheetFormatPr baseColWidth="10" defaultRowHeight="15" x14ac:dyDescent="0.25"/>
  <cols>
    <col min="1" max="1" width="8.85546875" bestFit="1" customWidth="1"/>
    <col min="2" max="2" width="13.140625" bestFit="1" customWidth="1"/>
    <col min="3" max="3" width="20" bestFit="1" customWidth="1"/>
    <col min="4" max="4" width="23.7109375" bestFit="1" customWidth="1"/>
    <col min="5" max="5" width="11.42578125" style="13"/>
    <col min="6" max="6" width="17.7109375" style="1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s="13" t="s">
        <v>4</v>
      </c>
      <c r="F1" s="1" t="s">
        <v>5</v>
      </c>
    </row>
    <row r="2" spans="1:6" x14ac:dyDescent="0.25">
      <c r="A2" t="s">
        <v>6</v>
      </c>
      <c r="B2" t="s">
        <v>7</v>
      </c>
      <c r="C2" t="s">
        <v>21</v>
      </c>
      <c r="D2" t="s">
        <v>28</v>
      </c>
      <c r="E2" s="13">
        <v>50</v>
      </c>
      <c r="F2" s="1">
        <v>45709</v>
      </c>
    </row>
    <row r="3" spans="1:6" x14ac:dyDescent="0.25">
      <c r="A3" t="s">
        <v>6</v>
      </c>
      <c r="B3" t="s">
        <v>19</v>
      </c>
      <c r="C3" t="s">
        <v>21</v>
      </c>
      <c r="D3" t="s">
        <v>28</v>
      </c>
      <c r="E3" s="13">
        <v>250</v>
      </c>
      <c r="F3" s="1">
        <v>45709</v>
      </c>
    </row>
    <row r="4" spans="1:6" x14ac:dyDescent="0.25">
      <c r="A4" t="s">
        <v>18</v>
      </c>
      <c r="B4" t="s">
        <v>7</v>
      </c>
      <c r="C4" t="s">
        <v>9</v>
      </c>
      <c r="D4" t="s">
        <v>12</v>
      </c>
      <c r="E4" s="13">
        <v>10</v>
      </c>
      <c r="F4" s="1">
        <v>45709</v>
      </c>
    </row>
    <row r="5" spans="1:6" x14ac:dyDescent="0.25">
      <c r="A5" t="s">
        <v>18</v>
      </c>
      <c r="B5" t="s">
        <v>19</v>
      </c>
      <c r="C5" t="s">
        <v>45</v>
      </c>
      <c r="D5" t="s">
        <v>13</v>
      </c>
      <c r="E5" s="13">
        <v>150</v>
      </c>
      <c r="F5" s="1">
        <v>45709</v>
      </c>
    </row>
    <row r="6" spans="1:6" x14ac:dyDescent="0.25">
      <c r="A6" t="s">
        <v>18</v>
      </c>
      <c r="B6" t="s">
        <v>19</v>
      </c>
      <c r="C6" t="s">
        <v>45</v>
      </c>
      <c r="D6" t="s">
        <v>13</v>
      </c>
      <c r="E6" s="13">
        <v>150</v>
      </c>
      <c r="F6" s="1">
        <v>45709</v>
      </c>
    </row>
    <row r="7" spans="1:6" x14ac:dyDescent="0.25">
      <c r="A7" t="s">
        <v>18</v>
      </c>
      <c r="B7" t="s">
        <v>27</v>
      </c>
      <c r="C7" t="s">
        <v>10</v>
      </c>
      <c r="D7" t="s">
        <v>13</v>
      </c>
      <c r="E7" s="13">
        <v>10</v>
      </c>
      <c r="F7" s="1">
        <v>45293</v>
      </c>
    </row>
    <row r="8" spans="1:6" x14ac:dyDescent="0.25">
      <c r="A8" t="s">
        <v>18</v>
      </c>
      <c r="B8" t="s">
        <v>19</v>
      </c>
      <c r="C8" t="s">
        <v>10</v>
      </c>
      <c r="D8" t="s">
        <v>13</v>
      </c>
      <c r="E8" s="13">
        <v>2.5</v>
      </c>
      <c r="F8" s="1">
        <v>45293</v>
      </c>
    </row>
    <row r="9" spans="1:6" x14ac:dyDescent="0.25">
      <c r="A9" t="s">
        <v>18</v>
      </c>
      <c r="B9" t="s">
        <v>19</v>
      </c>
      <c r="C9" t="s">
        <v>11</v>
      </c>
      <c r="D9" t="s">
        <v>23</v>
      </c>
      <c r="E9" s="13">
        <v>180</v>
      </c>
      <c r="F9" s="1">
        <v>45293</v>
      </c>
    </row>
    <row r="10" spans="1:6" x14ac:dyDescent="0.25">
      <c r="A10" t="s">
        <v>18</v>
      </c>
      <c r="B10" t="s">
        <v>19</v>
      </c>
      <c r="C10" t="s">
        <v>8</v>
      </c>
      <c r="D10" t="s">
        <v>22</v>
      </c>
      <c r="E10" s="13">
        <v>14</v>
      </c>
      <c r="F10" s="1">
        <v>45294</v>
      </c>
    </row>
    <row r="11" spans="1:6" x14ac:dyDescent="0.25">
      <c r="A11" t="s">
        <v>18</v>
      </c>
      <c r="B11" t="s">
        <v>19</v>
      </c>
      <c r="C11" t="s">
        <v>11</v>
      </c>
      <c r="D11" t="s">
        <v>23</v>
      </c>
      <c r="E11" s="13">
        <v>180</v>
      </c>
      <c r="F11" s="1">
        <v>45294</v>
      </c>
    </row>
    <row r="12" spans="1:6" x14ac:dyDescent="0.25">
      <c r="A12" t="s">
        <v>18</v>
      </c>
      <c r="B12" t="s">
        <v>27</v>
      </c>
      <c r="C12" t="s">
        <v>8</v>
      </c>
      <c r="D12" t="s">
        <v>22</v>
      </c>
      <c r="E12" s="13">
        <v>275</v>
      </c>
      <c r="F12" s="1">
        <v>45294</v>
      </c>
    </row>
    <row r="13" spans="1:6" x14ac:dyDescent="0.25">
      <c r="A13" t="s">
        <v>18</v>
      </c>
      <c r="B13" t="s">
        <v>19</v>
      </c>
      <c r="C13" t="s">
        <v>8</v>
      </c>
      <c r="D13" t="s">
        <v>22</v>
      </c>
      <c r="E13" s="13">
        <v>1</v>
      </c>
      <c r="F13" s="1">
        <v>45295</v>
      </c>
    </row>
    <row r="14" spans="1:6" x14ac:dyDescent="0.25">
      <c r="A14" t="s">
        <v>18</v>
      </c>
      <c r="B14" t="s">
        <v>27</v>
      </c>
      <c r="C14" t="s">
        <v>10</v>
      </c>
      <c r="D14" t="s">
        <v>13</v>
      </c>
      <c r="E14" s="13">
        <v>118</v>
      </c>
      <c r="F14" s="1">
        <v>45295</v>
      </c>
    </row>
    <row r="15" spans="1:6" x14ac:dyDescent="0.25">
      <c r="A15" t="s">
        <v>18</v>
      </c>
      <c r="B15" t="s">
        <v>19</v>
      </c>
      <c r="C15" t="s">
        <v>10</v>
      </c>
      <c r="D15" t="s">
        <v>10</v>
      </c>
      <c r="E15" s="13">
        <v>16</v>
      </c>
      <c r="F15" s="1">
        <v>45295</v>
      </c>
    </row>
    <row r="16" spans="1:6" x14ac:dyDescent="0.25">
      <c r="A16" t="s">
        <v>18</v>
      </c>
      <c r="B16" t="s">
        <v>19</v>
      </c>
      <c r="C16" t="s">
        <v>8</v>
      </c>
      <c r="D16" t="s">
        <v>22</v>
      </c>
      <c r="E16" s="13">
        <v>10</v>
      </c>
      <c r="F16" s="1">
        <v>45296</v>
      </c>
    </row>
    <row r="17" spans="1:6" x14ac:dyDescent="0.25">
      <c r="A17" t="s">
        <v>18</v>
      </c>
      <c r="B17" t="s">
        <v>27</v>
      </c>
      <c r="C17" t="s">
        <v>8</v>
      </c>
      <c r="D17" t="s">
        <v>22</v>
      </c>
      <c r="E17" s="13">
        <v>65</v>
      </c>
      <c r="F17" s="1">
        <v>45298</v>
      </c>
    </row>
    <row r="18" spans="1:6" x14ac:dyDescent="0.25">
      <c r="A18" t="s">
        <v>18</v>
      </c>
      <c r="B18" t="s">
        <v>27</v>
      </c>
      <c r="C18" t="s">
        <v>8</v>
      </c>
      <c r="D18" t="s">
        <v>22</v>
      </c>
      <c r="E18" s="13">
        <v>157</v>
      </c>
      <c r="F18" s="1">
        <v>45300</v>
      </c>
    </row>
    <row r="19" spans="1:6" x14ac:dyDescent="0.25">
      <c r="A19" t="s">
        <v>18</v>
      </c>
      <c r="B19" t="s">
        <v>27</v>
      </c>
      <c r="C19" t="s">
        <v>10</v>
      </c>
      <c r="D19" t="s">
        <v>13</v>
      </c>
      <c r="E19" s="13">
        <v>20</v>
      </c>
      <c r="F19" s="1">
        <v>45300</v>
      </c>
    </row>
    <row r="20" spans="1:6" x14ac:dyDescent="0.25">
      <c r="A20" t="s">
        <v>18</v>
      </c>
      <c r="B20" t="s">
        <v>19</v>
      </c>
      <c r="C20" t="s">
        <v>9</v>
      </c>
      <c r="D20" t="s">
        <v>29</v>
      </c>
      <c r="E20" s="13">
        <v>2.5</v>
      </c>
      <c r="F20" s="1">
        <v>45304</v>
      </c>
    </row>
    <row r="21" spans="1:6" x14ac:dyDescent="0.25">
      <c r="A21" t="s">
        <v>18</v>
      </c>
      <c r="B21" t="s">
        <v>27</v>
      </c>
      <c r="C21" t="s">
        <v>10</v>
      </c>
      <c r="D21" t="s">
        <v>13</v>
      </c>
      <c r="E21" s="13">
        <v>1799</v>
      </c>
      <c r="F21" s="1">
        <v>45304</v>
      </c>
    </row>
    <row r="22" spans="1:6" x14ac:dyDescent="0.25">
      <c r="A22" t="s">
        <v>18</v>
      </c>
      <c r="B22" t="s">
        <v>27</v>
      </c>
      <c r="C22" t="s">
        <v>8</v>
      </c>
      <c r="D22" t="s">
        <v>22</v>
      </c>
      <c r="E22" s="13">
        <v>10</v>
      </c>
      <c r="F22" s="1">
        <v>45307</v>
      </c>
    </row>
    <row r="23" spans="1:6" x14ac:dyDescent="0.25">
      <c r="A23" t="s">
        <v>18</v>
      </c>
      <c r="B23" t="s">
        <v>19</v>
      </c>
      <c r="C23" t="s">
        <v>8</v>
      </c>
      <c r="D23" t="s">
        <v>22</v>
      </c>
      <c r="E23" s="13">
        <v>14</v>
      </c>
      <c r="F23" s="1">
        <v>45315</v>
      </c>
    </row>
    <row r="24" spans="1:6" x14ac:dyDescent="0.25">
      <c r="A24" t="s">
        <v>18</v>
      </c>
      <c r="B24" t="s">
        <v>19</v>
      </c>
      <c r="C24" t="s">
        <v>8</v>
      </c>
      <c r="D24" t="s">
        <v>22</v>
      </c>
      <c r="E24" s="13">
        <v>14</v>
      </c>
      <c r="F24" s="1">
        <v>45312</v>
      </c>
    </row>
    <row r="25" spans="1:6" x14ac:dyDescent="0.25">
      <c r="A25" t="s">
        <v>18</v>
      </c>
      <c r="B25" t="s">
        <v>20</v>
      </c>
      <c r="C25" t="s">
        <v>8</v>
      </c>
      <c r="D25" t="s">
        <v>22</v>
      </c>
      <c r="E25" s="13">
        <v>67</v>
      </c>
      <c r="F25" s="1">
        <v>45306</v>
      </c>
    </row>
    <row r="26" spans="1:6" x14ac:dyDescent="0.25">
      <c r="A26" t="s">
        <v>18</v>
      </c>
      <c r="B26" t="s">
        <v>27</v>
      </c>
      <c r="C26" t="s">
        <v>8</v>
      </c>
      <c r="D26" t="s">
        <v>22</v>
      </c>
      <c r="E26" s="13">
        <v>180</v>
      </c>
      <c r="F26" s="1">
        <v>45306</v>
      </c>
    </row>
    <row r="27" spans="1:6" x14ac:dyDescent="0.25">
      <c r="A27" t="s">
        <v>18</v>
      </c>
      <c r="B27" t="s">
        <v>27</v>
      </c>
      <c r="C27" t="s">
        <v>9</v>
      </c>
      <c r="D27" t="s">
        <v>29</v>
      </c>
      <c r="E27" s="13">
        <v>100</v>
      </c>
      <c r="F27" s="1">
        <v>45323</v>
      </c>
    </row>
    <row r="28" spans="1:6" x14ac:dyDescent="0.25">
      <c r="A28" t="s">
        <v>18</v>
      </c>
      <c r="B28" t="s">
        <v>27</v>
      </c>
      <c r="C28" t="s">
        <v>8</v>
      </c>
      <c r="D28" t="s">
        <v>22</v>
      </c>
      <c r="E28" s="13">
        <v>4</v>
      </c>
      <c r="F28" s="1">
        <v>45323</v>
      </c>
    </row>
    <row r="29" spans="1:6" x14ac:dyDescent="0.25">
      <c r="A29" t="s">
        <v>18</v>
      </c>
      <c r="B29" t="s">
        <v>27</v>
      </c>
      <c r="C29" t="s">
        <v>10</v>
      </c>
      <c r="D29" t="s">
        <v>10</v>
      </c>
      <c r="E29" s="13">
        <v>100</v>
      </c>
      <c r="F29" s="1">
        <v>45324</v>
      </c>
    </row>
    <row r="30" spans="1:6" x14ac:dyDescent="0.25">
      <c r="A30" t="s">
        <v>18</v>
      </c>
      <c r="B30" t="s">
        <v>27</v>
      </c>
      <c r="C30" t="s">
        <v>9</v>
      </c>
      <c r="D30" t="s">
        <v>29</v>
      </c>
      <c r="E30" s="13">
        <v>25</v>
      </c>
      <c r="F30" s="1">
        <v>45324</v>
      </c>
    </row>
    <row r="31" spans="1:6" x14ac:dyDescent="0.25">
      <c r="A31" t="s">
        <v>18</v>
      </c>
      <c r="B31" t="s">
        <v>27</v>
      </c>
      <c r="C31" t="s">
        <v>8</v>
      </c>
      <c r="D31" t="s">
        <v>22</v>
      </c>
      <c r="E31" s="13">
        <v>15</v>
      </c>
      <c r="F31" s="1">
        <v>45323</v>
      </c>
    </row>
    <row r="32" spans="1:6" x14ac:dyDescent="0.25">
      <c r="A32" t="s">
        <v>18</v>
      </c>
      <c r="B32" t="s">
        <v>27</v>
      </c>
      <c r="C32" t="s">
        <v>8</v>
      </c>
      <c r="D32" t="s">
        <v>22</v>
      </c>
      <c r="E32" s="13">
        <v>30.5</v>
      </c>
      <c r="F32" s="1">
        <v>45323</v>
      </c>
    </row>
    <row r="33" spans="1:6" x14ac:dyDescent="0.25">
      <c r="A33" t="s">
        <v>18</v>
      </c>
      <c r="B33" t="s">
        <v>27</v>
      </c>
      <c r="C33" t="s">
        <v>8</v>
      </c>
      <c r="D33" t="s">
        <v>22</v>
      </c>
      <c r="E33" s="13">
        <v>14</v>
      </c>
      <c r="F33" s="1">
        <v>45332</v>
      </c>
    </row>
    <row r="34" spans="1:6" x14ac:dyDescent="0.25">
      <c r="A34" t="s">
        <v>18</v>
      </c>
      <c r="B34" t="s">
        <v>27</v>
      </c>
      <c r="C34" t="s">
        <v>8</v>
      </c>
      <c r="D34" t="s">
        <v>22</v>
      </c>
      <c r="E34" s="13">
        <v>1.5</v>
      </c>
      <c r="F34" s="1">
        <v>45334</v>
      </c>
    </row>
    <row r="35" spans="1:6" x14ac:dyDescent="0.25">
      <c r="A35" t="s">
        <v>18</v>
      </c>
      <c r="B35" t="s">
        <v>27</v>
      </c>
      <c r="C35" t="s">
        <v>9</v>
      </c>
      <c r="D35" t="s">
        <v>29</v>
      </c>
      <c r="E35" s="13">
        <v>500</v>
      </c>
      <c r="F35" s="1">
        <v>45334</v>
      </c>
    </row>
    <row r="36" spans="1:6" x14ac:dyDescent="0.25">
      <c r="A36" t="s">
        <v>18</v>
      </c>
      <c r="B36" t="s">
        <v>27</v>
      </c>
      <c r="C36" t="s">
        <v>8</v>
      </c>
      <c r="D36" t="s">
        <v>22</v>
      </c>
      <c r="E36" s="13">
        <v>1</v>
      </c>
      <c r="F36" s="1">
        <v>45335</v>
      </c>
    </row>
    <row r="37" spans="1:6" x14ac:dyDescent="0.25">
      <c r="A37" t="s">
        <v>18</v>
      </c>
      <c r="B37" t="s">
        <v>27</v>
      </c>
      <c r="C37" t="s">
        <v>8</v>
      </c>
      <c r="D37" t="s">
        <v>22</v>
      </c>
      <c r="E37" s="13">
        <v>30</v>
      </c>
      <c r="F37" s="1">
        <v>45336</v>
      </c>
    </row>
    <row r="38" spans="1:6" x14ac:dyDescent="0.25">
      <c r="A38" t="s">
        <v>18</v>
      </c>
      <c r="B38" t="s">
        <v>27</v>
      </c>
      <c r="C38" t="s">
        <v>8</v>
      </c>
      <c r="D38" t="s">
        <v>22</v>
      </c>
      <c r="E38" s="13">
        <v>2.5</v>
      </c>
      <c r="F38" s="1">
        <v>45337</v>
      </c>
    </row>
    <row r="39" spans="1:6" x14ac:dyDescent="0.25">
      <c r="A39" t="s">
        <v>18</v>
      </c>
      <c r="B39" t="s">
        <v>27</v>
      </c>
      <c r="C39" t="s">
        <v>8</v>
      </c>
      <c r="D39" t="s">
        <v>22</v>
      </c>
      <c r="E39" s="13">
        <v>15</v>
      </c>
      <c r="F39" s="1">
        <v>44987</v>
      </c>
    </row>
    <row r="40" spans="1:6" x14ac:dyDescent="0.25">
      <c r="A40" t="s">
        <v>18</v>
      </c>
      <c r="B40" t="s">
        <v>27</v>
      </c>
      <c r="C40" t="s">
        <v>9</v>
      </c>
      <c r="D40" t="s">
        <v>29</v>
      </c>
      <c r="E40" s="13">
        <v>18</v>
      </c>
      <c r="F40" s="1">
        <v>44987</v>
      </c>
    </row>
    <row r="41" spans="1:6" x14ac:dyDescent="0.25">
      <c r="A41" t="s">
        <v>18</v>
      </c>
      <c r="B41" t="s">
        <v>27</v>
      </c>
      <c r="C41" t="s">
        <v>8</v>
      </c>
      <c r="D41" t="s">
        <v>22</v>
      </c>
      <c r="E41" s="13">
        <v>10.26</v>
      </c>
      <c r="F41" s="1">
        <v>45496</v>
      </c>
    </row>
    <row r="42" spans="1:6" x14ac:dyDescent="0.25">
      <c r="A42" t="s">
        <v>18</v>
      </c>
      <c r="B42" t="s">
        <v>27</v>
      </c>
      <c r="C42" t="s">
        <v>9</v>
      </c>
      <c r="D42" t="s">
        <v>29</v>
      </c>
      <c r="E42" s="13">
        <v>4</v>
      </c>
      <c r="F42" s="1">
        <v>44986</v>
      </c>
    </row>
    <row r="43" spans="1:6" x14ac:dyDescent="0.25">
      <c r="A43" t="s">
        <v>18</v>
      </c>
      <c r="B43" t="s">
        <v>27</v>
      </c>
      <c r="C43" t="s">
        <v>8</v>
      </c>
      <c r="D43" t="s">
        <v>22</v>
      </c>
      <c r="E43" s="13">
        <v>550</v>
      </c>
      <c r="F43" s="1">
        <v>44987</v>
      </c>
    </row>
    <row r="44" spans="1:6" x14ac:dyDescent="0.25">
      <c r="A44" t="s">
        <v>18</v>
      </c>
      <c r="B44" t="s">
        <v>27</v>
      </c>
      <c r="C44" t="s">
        <v>8</v>
      </c>
      <c r="D44" t="s">
        <v>22</v>
      </c>
      <c r="E44" s="13">
        <v>250</v>
      </c>
      <c r="F44" s="1">
        <v>44987</v>
      </c>
    </row>
    <row r="45" spans="1:6" x14ac:dyDescent="0.25">
      <c r="A45" t="s">
        <v>18</v>
      </c>
      <c r="B45" t="s">
        <v>27</v>
      </c>
      <c r="C45" t="s">
        <v>8</v>
      </c>
      <c r="D45" t="s">
        <v>22</v>
      </c>
      <c r="E45" s="13">
        <v>14</v>
      </c>
      <c r="F45" s="1">
        <v>45355</v>
      </c>
    </row>
    <row r="46" spans="1:6" x14ac:dyDescent="0.25">
      <c r="A46" t="s">
        <v>18</v>
      </c>
      <c r="B46" t="s">
        <v>27</v>
      </c>
      <c r="C46" t="s">
        <v>8</v>
      </c>
      <c r="D46" t="s">
        <v>22</v>
      </c>
      <c r="E46" s="13">
        <v>14</v>
      </c>
      <c r="F46" s="1">
        <v>45357</v>
      </c>
    </row>
    <row r="47" spans="1:6" x14ac:dyDescent="0.25">
      <c r="A47" t="s">
        <v>18</v>
      </c>
      <c r="B47" t="s">
        <v>27</v>
      </c>
      <c r="C47" t="s">
        <v>8</v>
      </c>
      <c r="D47" t="s">
        <v>22</v>
      </c>
      <c r="E47" s="13">
        <v>14</v>
      </c>
      <c r="F47" s="1">
        <v>45362</v>
      </c>
    </row>
    <row r="48" spans="1:6" x14ac:dyDescent="0.25">
      <c r="A48" t="s">
        <v>18</v>
      </c>
      <c r="B48" t="s">
        <v>27</v>
      </c>
      <c r="C48" t="s">
        <v>8</v>
      </c>
      <c r="D48" t="s">
        <v>22</v>
      </c>
      <c r="E48" s="13">
        <v>14</v>
      </c>
      <c r="F48" s="1">
        <v>45364</v>
      </c>
    </row>
    <row r="49" spans="1:6" x14ac:dyDescent="0.25">
      <c r="A49" t="s">
        <v>18</v>
      </c>
      <c r="B49" t="s">
        <v>27</v>
      </c>
      <c r="C49" t="s">
        <v>8</v>
      </c>
      <c r="D49" t="s">
        <v>22</v>
      </c>
      <c r="E49" s="13">
        <v>14</v>
      </c>
      <c r="F49" s="1">
        <v>45369</v>
      </c>
    </row>
    <row r="50" spans="1:6" x14ac:dyDescent="0.25">
      <c r="A50" t="s">
        <v>18</v>
      </c>
      <c r="B50" t="s">
        <v>27</v>
      </c>
      <c r="C50" t="s">
        <v>8</v>
      </c>
      <c r="D50" t="s">
        <v>22</v>
      </c>
      <c r="E50" s="13">
        <v>14</v>
      </c>
      <c r="F50" s="1">
        <v>45371</v>
      </c>
    </row>
    <row r="51" spans="1:6" x14ac:dyDescent="0.25">
      <c r="A51" t="s">
        <v>18</v>
      </c>
      <c r="B51" t="s">
        <v>27</v>
      </c>
      <c r="C51" t="s">
        <v>8</v>
      </c>
      <c r="D51" t="s">
        <v>22</v>
      </c>
      <c r="E51" s="13">
        <v>14</v>
      </c>
      <c r="F51" s="1">
        <v>45376</v>
      </c>
    </row>
    <row r="52" spans="1:6" x14ac:dyDescent="0.25">
      <c r="A52" t="s">
        <v>18</v>
      </c>
      <c r="B52" t="s">
        <v>27</v>
      </c>
      <c r="C52" t="s">
        <v>8</v>
      </c>
      <c r="D52" t="s">
        <v>22</v>
      </c>
      <c r="E52" s="13">
        <v>14</v>
      </c>
      <c r="F52" s="1">
        <v>45378</v>
      </c>
    </row>
    <row r="53" spans="1:6" x14ac:dyDescent="0.25">
      <c r="A53" t="s">
        <v>18</v>
      </c>
      <c r="B53" t="s">
        <v>27</v>
      </c>
      <c r="C53" t="s">
        <v>8</v>
      </c>
      <c r="D53" t="s">
        <v>22</v>
      </c>
      <c r="E53" s="13">
        <v>14</v>
      </c>
      <c r="F53" s="1">
        <v>45378</v>
      </c>
    </row>
    <row r="54" spans="1:6" x14ac:dyDescent="0.25">
      <c r="A54" t="s">
        <v>18</v>
      </c>
      <c r="B54" t="s">
        <v>27</v>
      </c>
      <c r="C54" t="s">
        <v>8</v>
      </c>
      <c r="D54" t="s">
        <v>22</v>
      </c>
      <c r="E54" s="13">
        <v>1872.25</v>
      </c>
      <c r="F54" s="1">
        <v>45392</v>
      </c>
    </row>
    <row r="55" spans="1:6" x14ac:dyDescent="0.25">
      <c r="A55" t="s">
        <v>18</v>
      </c>
      <c r="B55" t="s">
        <v>20</v>
      </c>
      <c r="C55" t="s">
        <v>8</v>
      </c>
      <c r="D55" t="s">
        <v>22</v>
      </c>
      <c r="E55" s="13">
        <v>40</v>
      </c>
      <c r="F55" s="1">
        <v>45467</v>
      </c>
    </row>
    <row r="56" spans="1:6" x14ac:dyDescent="0.25">
      <c r="A56" t="s">
        <v>18</v>
      </c>
      <c r="B56" t="s">
        <v>20</v>
      </c>
      <c r="C56" t="s">
        <v>8</v>
      </c>
      <c r="D56" t="s">
        <v>22</v>
      </c>
      <c r="E56" s="13">
        <v>14</v>
      </c>
      <c r="F56" s="1">
        <v>45467</v>
      </c>
    </row>
    <row r="57" spans="1:6" x14ac:dyDescent="0.25">
      <c r="A57" t="s">
        <v>18</v>
      </c>
      <c r="B57" t="s">
        <v>27</v>
      </c>
      <c r="C57" t="s">
        <v>8</v>
      </c>
      <c r="D57" t="s">
        <v>22</v>
      </c>
      <c r="E57" s="13">
        <v>8.6199999999999992</v>
      </c>
      <c r="F57" s="1">
        <v>45446</v>
      </c>
    </row>
    <row r="58" spans="1:6" x14ac:dyDescent="0.25">
      <c r="A58" t="s">
        <v>18</v>
      </c>
      <c r="B58" t="s">
        <v>20</v>
      </c>
      <c r="C58" t="s">
        <v>9</v>
      </c>
      <c r="D58" t="s">
        <v>29</v>
      </c>
      <c r="E58" s="13">
        <v>5</v>
      </c>
      <c r="F58" s="1">
        <v>45447</v>
      </c>
    </row>
    <row r="59" spans="1:6" x14ac:dyDescent="0.25">
      <c r="A59" t="s">
        <v>18</v>
      </c>
      <c r="B59" t="s">
        <v>20</v>
      </c>
      <c r="C59" t="s">
        <v>10</v>
      </c>
      <c r="D59" t="s">
        <v>10</v>
      </c>
      <c r="E59" s="13">
        <v>8</v>
      </c>
      <c r="F59" s="1">
        <v>45448</v>
      </c>
    </row>
    <row r="60" spans="1:6" x14ac:dyDescent="0.25">
      <c r="A60" t="s">
        <v>18</v>
      </c>
      <c r="B60" t="s">
        <v>20</v>
      </c>
      <c r="C60" t="s">
        <v>9</v>
      </c>
      <c r="D60" t="s">
        <v>29</v>
      </c>
      <c r="E60" s="13">
        <v>4</v>
      </c>
      <c r="F60" s="1">
        <v>45447</v>
      </c>
    </row>
    <row r="61" spans="1:6" x14ac:dyDescent="0.25">
      <c r="A61" t="s">
        <v>18</v>
      </c>
      <c r="B61" t="s">
        <v>27</v>
      </c>
      <c r="C61" t="s">
        <v>8</v>
      </c>
      <c r="D61" t="s">
        <v>22</v>
      </c>
      <c r="E61" s="13">
        <v>25.93</v>
      </c>
      <c r="F61" s="1">
        <v>45450</v>
      </c>
    </row>
    <row r="62" spans="1:6" x14ac:dyDescent="0.25">
      <c r="A62" t="s">
        <v>18</v>
      </c>
      <c r="B62" t="s">
        <v>20</v>
      </c>
      <c r="C62" t="s">
        <v>8</v>
      </c>
      <c r="D62" t="s">
        <v>22</v>
      </c>
      <c r="E62" s="13">
        <v>14</v>
      </c>
      <c r="F62" s="1">
        <v>45453</v>
      </c>
    </row>
    <row r="63" spans="1:6" x14ac:dyDescent="0.25">
      <c r="A63" t="s">
        <v>18</v>
      </c>
      <c r="B63" t="s">
        <v>20</v>
      </c>
      <c r="C63" t="s">
        <v>9</v>
      </c>
      <c r="D63" t="s">
        <v>29</v>
      </c>
      <c r="E63" s="13">
        <v>4.5</v>
      </c>
      <c r="F63" s="1">
        <v>45454</v>
      </c>
    </row>
    <row r="64" spans="1:6" x14ac:dyDescent="0.25">
      <c r="A64" t="s">
        <v>18</v>
      </c>
      <c r="B64" t="s">
        <v>20</v>
      </c>
      <c r="C64" t="s">
        <v>8</v>
      </c>
      <c r="D64" t="s">
        <v>22</v>
      </c>
      <c r="E64" s="13">
        <v>4.5</v>
      </c>
      <c r="F64" s="1">
        <v>45454</v>
      </c>
    </row>
    <row r="65" spans="1:6" x14ac:dyDescent="0.25">
      <c r="A65" t="s">
        <v>18</v>
      </c>
      <c r="B65" t="s">
        <v>20</v>
      </c>
      <c r="C65" t="s">
        <v>11</v>
      </c>
      <c r="D65" t="s">
        <v>23</v>
      </c>
      <c r="E65" s="13">
        <v>24.5</v>
      </c>
      <c r="F65" s="1">
        <v>45454</v>
      </c>
    </row>
    <row r="66" spans="1:6" x14ac:dyDescent="0.25">
      <c r="A66" t="s">
        <v>18</v>
      </c>
      <c r="B66" t="s">
        <v>20</v>
      </c>
      <c r="C66" t="s">
        <v>11</v>
      </c>
      <c r="D66" t="s">
        <v>23</v>
      </c>
      <c r="E66" s="13">
        <v>14</v>
      </c>
      <c r="F66" s="1">
        <v>45455</v>
      </c>
    </row>
    <row r="67" spans="1:6" x14ac:dyDescent="0.25">
      <c r="A67" t="s">
        <v>18</v>
      </c>
      <c r="B67" t="s">
        <v>20</v>
      </c>
      <c r="C67" t="s">
        <v>8</v>
      </c>
      <c r="D67" t="s">
        <v>22</v>
      </c>
      <c r="E67" s="13">
        <v>15.5</v>
      </c>
      <c r="F67" s="1">
        <v>45455</v>
      </c>
    </row>
    <row r="68" spans="1:6" x14ac:dyDescent="0.25">
      <c r="A68" t="s">
        <v>18</v>
      </c>
      <c r="B68" t="s">
        <v>20</v>
      </c>
      <c r="C68" t="s">
        <v>8</v>
      </c>
      <c r="D68" t="s">
        <v>22</v>
      </c>
      <c r="E68" s="13">
        <v>94</v>
      </c>
      <c r="F68" s="1">
        <v>45455</v>
      </c>
    </row>
    <row r="69" spans="1:6" x14ac:dyDescent="0.25">
      <c r="A69" t="s">
        <v>18</v>
      </c>
      <c r="B69" t="s">
        <v>20</v>
      </c>
      <c r="C69" t="s">
        <v>8</v>
      </c>
      <c r="D69" t="s">
        <v>22</v>
      </c>
      <c r="E69" s="13">
        <v>3.5</v>
      </c>
      <c r="F69" s="1">
        <v>45455</v>
      </c>
    </row>
    <row r="70" spans="1:6" x14ac:dyDescent="0.25">
      <c r="A70" t="s">
        <v>18</v>
      </c>
      <c r="B70" t="s">
        <v>27</v>
      </c>
      <c r="C70" t="s">
        <v>8</v>
      </c>
      <c r="D70" t="s">
        <v>22</v>
      </c>
      <c r="E70" s="13">
        <v>11.09</v>
      </c>
      <c r="F70" s="1">
        <v>45461</v>
      </c>
    </row>
    <row r="71" spans="1:6" x14ac:dyDescent="0.25">
      <c r="A71" t="s">
        <v>18</v>
      </c>
      <c r="B71" t="s">
        <v>20</v>
      </c>
      <c r="C71" t="s">
        <v>11</v>
      </c>
      <c r="D71" t="s">
        <v>23</v>
      </c>
      <c r="E71" s="13">
        <v>5.36</v>
      </c>
      <c r="F71" s="1">
        <v>45461</v>
      </c>
    </row>
    <row r="72" spans="1:6" x14ac:dyDescent="0.25">
      <c r="A72" t="s">
        <v>18</v>
      </c>
      <c r="B72" t="s">
        <v>20</v>
      </c>
      <c r="C72" t="s">
        <v>9</v>
      </c>
      <c r="D72" t="s">
        <v>29</v>
      </c>
      <c r="E72" s="13">
        <v>4.5</v>
      </c>
      <c r="F72" s="1">
        <v>45461</v>
      </c>
    </row>
    <row r="73" spans="1:6" x14ac:dyDescent="0.25">
      <c r="A73" t="s">
        <v>18</v>
      </c>
      <c r="B73" t="s">
        <v>20</v>
      </c>
      <c r="C73" t="s">
        <v>8</v>
      </c>
      <c r="D73" t="s">
        <v>22</v>
      </c>
      <c r="E73" s="13">
        <v>14</v>
      </c>
      <c r="F73" s="1">
        <v>45462</v>
      </c>
    </row>
    <row r="74" spans="1:6" x14ac:dyDescent="0.25">
      <c r="A74" t="s">
        <v>18</v>
      </c>
      <c r="B74" t="s">
        <v>27</v>
      </c>
      <c r="C74" t="s">
        <v>8</v>
      </c>
      <c r="D74" t="s">
        <v>22</v>
      </c>
      <c r="E74" s="13">
        <v>9.25</v>
      </c>
      <c r="F74" s="1">
        <v>45464</v>
      </c>
    </row>
    <row r="75" spans="1:6" x14ac:dyDescent="0.25">
      <c r="A75" t="s">
        <v>18</v>
      </c>
      <c r="B75" t="s">
        <v>27</v>
      </c>
      <c r="C75" t="s">
        <v>8</v>
      </c>
      <c r="D75" t="s">
        <v>22</v>
      </c>
      <c r="E75" s="13">
        <v>1.33</v>
      </c>
      <c r="F75" s="1">
        <v>45465</v>
      </c>
    </row>
    <row r="76" spans="1:6" x14ac:dyDescent="0.25">
      <c r="A76" t="s">
        <v>18</v>
      </c>
      <c r="B76" t="s">
        <v>27</v>
      </c>
      <c r="C76" t="s">
        <v>8</v>
      </c>
      <c r="D76" t="s">
        <v>22</v>
      </c>
      <c r="E76" s="13">
        <v>80</v>
      </c>
      <c r="F76" s="1">
        <v>45452</v>
      </c>
    </row>
    <row r="77" spans="1:6" x14ac:dyDescent="0.25">
      <c r="A77" t="s">
        <v>18</v>
      </c>
      <c r="B77" t="s">
        <v>20</v>
      </c>
      <c r="C77" t="s">
        <v>8</v>
      </c>
      <c r="D77" t="s">
        <v>22</v>
      </c>
      <c r="E77" s="13">
        <v>54</v>
      </c>
      <c r="F77" s="1">
        <v>45466</v>
      </c>
    </row>
    <row r="78" spans="1:6" x14ac:dyDescent="0.25">
      <c r="A78" t="s">
        <v>18</v>
      </c>
      <c r="B78" t="s">
        <v>20</v>
      </c>
      <c r="C78" t="s">
        <v>9</v>
      </c>
      <c r="D78" t="s">
        <v>29</v>
      </c>
      <c r="E78" s="13">
        <v>28</v>
      </c>
      <c r="F78" s="1">
        <v>45466</v>
      </c>
    </row>
    <row r="79" spans="1:6" x14ac:dyDescent="0.25">
      <c r="A79" t="s">
        <v>18</v>
      </c>
      <c r="B79" t="s">
        <v>27</v>
      </c>
      <c r="C79" t="s">
        <v>9</v>
      </c>
      <c r="D79" t="s">
        <v>29</v>
      </c>
      <c r="E79" s="13">
        <v>28</v>
      </c>
      <c r="F79" s="1">
        <v>45466</v>
      </c>
    </row>
    <row r="80" spans="1:6" x14ac:dyDescent="0.25">
      <c r="A80" t="s">
        <v>18</v>
      </c>
      <c r="B80" t="s">
        <v>20</v>
      </c>
      <c r="C80" t="s">
        <v>9</v>
      </c>
      <c r="D80" t="s">
        <v>29</v>
      </c>
      <c r="E80" s="13">
        <v>25</v>
      </c>
      <c r="F80" s="1">
        <v>45466</v>
      </c>
    </row>
    <row r="81" spans="1:6" x14ac:dyDescent="0.25">
      <c r="A81" t="s">
        <v>18</v>
      </c>
      <c r="B81" t="s">
        <v>20</v>
      </c>
      <c r="C81" t="s">
        <v>9</v>
      </c>
      <c r="D81" t="s">
        <v>29</v>
      </c>
      <c r="E81" s="13">
        <v>35</v>
      </c>
      <c r="F81" s="1">
        <v>45466</v>
      </c>
    </row>
    <row r="82" spans="1:6" x14ac:dyDescent="0.25">
      <c r="A82" t="s">
        <v>18</v>
      </c>
      <c r="B82" t="s">
        <v>20</v>
      </c>
      <c r="C82" t="s">
        <v>9</v>
      </c>
      <c r="D82" t="s">
        <v>29</v>
      </c>
      <c r="E82" s="13">
        <v>30</v>
      </c>
      <c r="F82" s="1">
        <v>45466</v>
      </c>
    </row>
    <row r="83" spans="1:6" x14ac:dyDescent="0.25">
      <c r="A83" t="s">
        <v>18</v>
      </c>
      <c r="B83" t="s">
        <v>20</v>
      </c>
      <c r="C83" t="s">
        <v>10</v>
      </c>
      <c r="D83" t="s">
        <v>13</v>
      </c>
      <c r="E83" s="13">
        <v>15</v>
      </c>
      <c r="F83" s="1">
        <v>45466</v>
      </c>
    </row>
    <row r="84" spans="1:6" x14ac:dyDescent="0.25">
      <c r="A84" t="s">
        <v>18</v>
      </c>
      <c r="B84" t="s">
        <v>20</v>
      </c>
      <c r="C84" t="s">
        <v>8</v>
      </c>
      <c r="D84" t="s">
        <v>22</v>
      </c>
      <c r="E84" s="13">
        <v>550</v>
      </c>
      <c r="F84" s="1">
        <v>45467</v>
      </c>
    </row>
    <row r="85" spans="1:6" x14ac:dyDescent="0.25">
      <c r="A85" t="s">
        <v>18</v>
      </c>
      <c r="B85" t="s">
        <v>20</v>
      </c>
      <c r="C85" t="s">
        <v>8</v>
      </c>
      <c r="D85" t="s">
        <v>22</v>
      </c>
      <c r="E85" s="13">
        <v>14</v>
      </c>
      <c r="F85" s="1">
        <v>45467</v>
      </c>
    </row>
    <row r="86" spans="1:6" x14ac:dyDescent="0.25">
      <c r="A86" t="s">
        <v>18</v>
      </c>
      <c r="B86" t="s">
        <v>20</v>
      </c>
      <c r="C86" t="s">
        <v>9</v>
      </c>
      <c r="D86" t="s">
        <v>29</v>
      </c>
      <c r="E86" s="13">
        <v>10</v>
      </c>
      <c r="F86" s="1">
        <v>45469</v>
      </c>
    </row>
    <row r="87" spans="1:6" x14ac:dyDescent="0.25">
      <c r="A87" t="s">
        <v>18</v>
      </c>
      <c r="B87" t="s">
        <v>20</v>
      </c>
      <c r="C87" t="s">
        <v>8</v>
      </c>
      <c r="D87" t="s">
        <v>22</v>
      </c>
      <c r="E87" s="13">
        <v>2.5</v>
      </c>
      <c r="F87" s="1">
        <v>45469</v>
      </c>
    </row>
    <row r="88" spans="1:6" x14ac:dyDescent="0.25">
      <c r="A88" t="s">
        <v>18</v>
      </c>
      <c r="B88" t="s">
        <v>27</v>
      </c>
      <c r="C88" t="s">
        <v>8</v>
      </c>
      <c r="D88" t="s">
        <v>22</v>
      </c>
      <c r="E88" s="13">
        <v>4.12</v>
      </c>
      <c r="F88" s="1">
        <v>45468</v>
      </c>
    </row>
    <row r="89" spans="1:6" x14ac:dyDescent="0.25">
      <c r="A89" t="s">
        <v>18</v>
      </c>
      <c r="B89" t="s">
        <v>20</v>
      </c>
      <c r="C89" t="s">
        <v>8</v>
      </c>
      <c r="D89" t="s">
        <v>22</v>
      </c>
      <c r="E89" s="13">
        <v>14</v>
      </c>
      <c r="F89" s="1">
        <v>45469</v>
      </c>
    </row>
    <row r="90" spans="1:6" x14ac:dyDescent="0.25">
      <c r="A90" t="s">
        <v>18</v>
      </c>
      <c r="B90" t="s">
        <v>20</v>
      </c>
      <c r="C90" t="s">
        <v>8</v>
      </c>
      <c r="D90" t="s">
        <v>22</v>
      </c>
      <c r="E90" s="13">
        <v>10</v>
      </c>
      <c r="F90" s="1">
        <v>45469</v>
      </c>
    </row>
    <row r="91" spans="1:6" x14ac:dyDescent="0.25">
      <c r="A91" t="s">
        <v>18</v>
      </c>
      <c r="B91" t="s">
        <v>20</v>
      </c>
      <c r="C91" t="s">
        <v>8</v>
      </c>
      <c r="D91" t="s">
        <v>22</v>
      </c>
      <c r="E91" s="13">
        <v>2.5</v>
      </c>
      <c r="F91" s="1">
        <v>45470</v>
      </c>
    </row>
    <row r="92" spans="1:6" x14ac:dyDescent="0.25">
      <c r="A92" t="s">
        <v>18</v>
      </c>
      <c r="B92" t="s">
        <v>20</v>
      </c>
      <c r="C92" t="s">
        <v>9</v>
      </c>
      <c r="D92" t="s">
        <v>13</v>
      </c>
      <c r="E92" s="13">
        <v>9.9</v>
      </c>
      <c r="F92" s="1">
        <v>45471</v>
      </c>
    </row>
    <row r="93" spans="1:6" x14ac:dyDescent="0.25">
      <c r="A93" t="s">
        <v>18</v>
      </c>
      <c r="B93" t="s">
        <v>20</v>
      </c>
      <c r="C93" t="s">
        <v>9</v>
      </c>
      <c r="D93" t="s">
        <v>13</v>
      </c>
      <c r="E93" s="13">
        <v>10</v>
      </c>
      <c r="F93" s="1">
        <v>45469</v>
      </c>
    </row>
    <row r="94" spans="1:6" x14ac:dyDescent="0.25">
      <c r="A94" t="s">
        <v>18</v>
      </c>
      <c r="B94" t="s">
        <v>20</v>
      </c>
      <c r="C94" t="s">
        <v>8</v>
      </c>
      <c r="D94" t="s">
        <v>22</v>
      </c>
      <c r="E94" s="13">
        <v>43.5</v>
      </c>
      <c r="F94" s="1">
        <v>45475</v>
      </c>
    </row>
    <row r="95" spans="1:6" x14ac:dyDescent="0.25">
      <c r="A95" t="s">
        <v>18</v>
      </c>
      <c r="B95" t="s">
        <v>20</v>
      </c>
      <c r="C95" t="s">
        <v>8</v>
      </c>
      <c r="D95" t="s">
        <v>22</v>
      </c>
      <c r="E95" s="13">
        <v>14</v>
      </c>
      <c r="F95" s="1">
        <v>45476</v>
      </c>
    </row>
    <row r="96" spans="1:6" x14ac:dyDescent="0.25">
      <c r="A96" t="s">
        <v>18</v>
      </c>
      <c r="B96" t="s">
        <v>20</v>
      </c>
      <c r="C96" t="s">
        <v>8</v>
      </c>
      <c r="D96" t="s">
        <v>22</v>
      </c>
      <c r="E96" s="13">
        <v>11.2</v>
      </c>
      <c r="F96" s="1">
        <v>45477</v>
      </c>
    </row>
    <row r="97" spans="1:6" x14ac:dyDescent="0.25">
      <c r="A97" t="s">
        <v>18</v>
      </c>
      <c r="B97" t="s">
        <v>27</v>
      </c>
      <c r="C97" t="s">
        <v>8</v>
      </c>
      <c r="D97" t="s">
        <v>22</v>
      </c>
      <c r="E97" s="13">
        <v>12.7</v>
      </c>
      <c r="F97" s="1">
        <v>45471</v>
      </c>
    </row>
    <row r="98" spans="1:6" x14ac:dyDescent="0.25">
      <c r="A98" t="s">
        <v>18</v>
      </c>
      <c r="B98" t="s">
        <v>27</v>
      </c>
      <c r="C98" t="s">
        <v>8</v>
      </c>
      <c r="D98" t="s">
        <v>22</v>
      </c>
      <c r="E98" s="13">
        <v>23.2</v>
      </c>
      <c r="F98" s="1">
        <v>45474</v>
      </c>
    </row>
    <row r="99" spans="1:6" x14ac:dyDescent="0.25">
      <c r="A99" t="s">
        <v>18</v>
      </c>
      <c r="B99" t="s">
        <v>27</v>
      </c>
      <c r="C99" t="s">
        <v>8</v>
      </c>
      <c r="D99" t="s">
        <v>22</v>
      </c>
      <c r="E99" s="13">
        <v>11.75</v>
      </c>
      <c r="F99" s="1">
        <v>45474</v>
      </c>
    </row>
    <row r="100" spans="1:6" x14ac:dyDescent="0.25">
      <c r="A100" t="s">
        <v>18</v>
      </c>
      <c r="B100" t="s">
        <v>27</v>
      </c>
      <c r="C100" t="s">
        <v>8</v>
      </c>
      <c r="D100" t="s">
        <v>22</v>
      </c>
      <c r="E100" s="13">
        <v>3.2</v>
      </c>
      <c r="F100" s="1">
        <v>45478</v>
      </c>
    </row>
    <row r="101" spans="1:6" x14ac:dyDescent="0.25">
      <c r="A101" t="s">
        <v>18</v>
      </c>
      <c r="B101" t="s">
        <v>27</v>
      </c>
      <c r="C101" t="s">
        <v>9</v>
      </c>
      <c r="D101" t="s">
        <v>13</v>
      </c>
      <c r="E101" s="13">
        <v>5</v>
      </c>
      <c r="F101" s="1">
        <v>45478</v>
      </c>
    </row>
    <row r="102" spans="1:6" x14ac:dyDescent="0.25">
      <c r="A102" t="s">
        <v>18</v>
      </c>
      <c r="B102" t="s">
        <v>27</v>
      </c>
      <c r="C102" t="s">
        <v>9</v>
      </c>
      <c r="D102" t="s">
        <v>29</v>
      </c>
      <c r="E102" s="13">
        <v>116.5</v>
      </c>
      <c r="F102" s="1">
        <v>45448</v>
      </c>
    </row>
    <row r="103" spans="1:6" x14ac:dyDescent="0.25">
      <c r="A103" t="s">
        <v>18</v>
      </c>
      <c r="B103" t="s">
        <v>27</v>
      </c>
      <c r="C103" t="s">
        <v>9</v>
      </c>
      <c r="D103" t="s">
        <v>29</v>
      </c>
      <c r="E103" s="13">
        <v>24.2</v>
      </c>
      <c r="F103" s="1">
        <v>45479</v>
      </c>
    </row>
    <row r="104" spans="1:6" x14ac:dyDescent="0.25">
      <c r="A104" t="s">
        <v>18</v>
      </c>
      <c r="B104" t="s">
        <v>20</v>
      </c>
      <c r="C104" t="s">
        <v>8</v>
      </c>
      <c r="D104" t="s">
        <v>22</v>
      </c>
      <c r="E104" s="13">
        <v>8.5</v>
      </c>
      <c r="F104" s="1">
        <v>45479</v>
      </c>
    </row>
    <row r="105" spans="1:6" x14ac:dyDescent="0.25">
      <c r="A105" t="s">
        <v>18</v>
      </c>
      <c r="B105" t="s">
        <v>20</v>
      </c>
      <c r="C105" t="s">
        <v>9</v>
      </c>
      <c r="D105" t="s">
        <v>29</v>
      </c>
      <c r="E105" s="13">
        <v>38.200000000000003</v>
      </c>
      <c r="F105" s="1">
        <v>45479</v>
      </c>
    </row>
    <row r="106" spans="1:6" x14ac:dyDescent="0.25">
      <c r="A106" t="s">
        <v>18</v>
      </c>
      <c r="B106" t="s">
        <v>27</v>
      </c>
      <c r="C106" t="s">
        <v>8</v>
      </c>
      <c r="D106" t="s">
        <v>22</v>
      </c>
      <c r="E106" s="13">
        <v>3.5</v>
      </c>
      <c r="F106" s="1">
        <v>45482</v>
      </c>
    </row>
    <row r="107" spans="1:6" x14ac:dyDescent="0.25">
      <c r="A107" t="s">
        <v>6</v>
      </c>
      <c r="B107" t="s">
        <v>19</v>
      </c>
      <c r="C107" t="s">
        <v>21</v>
      </c>
      <c r="D107" t="s">
        <v>28</v>
      </c>
      <c r="E107" s="13">
        <v>208</v>
      </c>
      <c r="F107" s="1">
        <v>45292</v>
      </c>
    </row>
    <row r="108" spans="1:6" x14ac:dyDescent="0.25">
      <c r="A108" t="s">
        <v>6</v>
      </c>
      <c r="B108" t="s">
        <v>19</v>
      </c>
      <c r="C108" t="s">
        <v>21</v>
      </c>
      <c r="D108" t="s">
        <v>28</v>
      </c>
      <c r="E108" s="13">
        <v>41.6</v>
      </c>
      <c r="F108" s="1">
        <v>45292</v>
      </c>
    </row>
    <row r="109" spans="1:6" x14ac:dyDescent="0.25">
      <c r="A109" t="s">
        <v>6</v>
      </c>
      <c r="B109" t="s">
        <v>19</v>
      </c>
      <c r="C109" t="s">
        <v>21</v>
      </c>
      <c r="D109" t="s">
        <v>28</v>
      </c>
      <c r="E109" s="13">
        <v>41.6</v>
      </c>
      <c r="F109" s="1">
        <v>45292</v>
      </c>
    </row>
    <row r="110" spans="1:6" x14ac:dyDescent="0.25">
      <c r="A110" t="s">
        <v>6</v>
      </c>
      <c r="B110" t="s">
        <v>19</v>
      </c>
      <c r="C110" t="s">
        <v>21</v>
      </c>
      <c r="D110" t="s">
        <v>28</v>
      </c>
      <c r="E110" s="13">
        <v>41.6</v>
      </c>
      <c r="F110" s="1">
        <v>45292</v>
      </c>
    </row>
    <row r="111" spans="1:6" x14ac:dyDescent="0.25">
      <c r="A111" t="s">
        <v>6</v>
      </c>
      <c r="B111" t="s">
        <v>19</v>
      </c>
      <c r="C111" t="s">
        <v>21</v>
      </c>
      <c r="D111" t="s">
        <v>28</v>
      </c>
      <c r="E111" s="13">
        <v>41.6</v>
      </c>
      <c r="F111" s="1">
        <v>45292</v>
      </c>
    </row>
    <row r="112" spans="1:6" x14ac:dyDescent="0.25">
      <c r="A112" t="s">
        <v>6</v>
      </c>
      <c r="B112" t="s">
        <v>19</v>
      </c>
      <c r="C112" t="s">
        <v>21</v>
      </c>
      <c r="D112" t="s">
        <v>28</v>
      </c>
      <c r="E112" s="13">
        <v>41.6</v>
      </c>
      <c r="F112" s="1">
        <v>45292</v>
      </c>
    </row>
    <row r="113" spans="1:6" x14ac:dyDescent="0.25">
      <c r="A113" t="s">
        <v>6</v>
      </c>
      <c r="B113" t="s">
        <v>27</v>
      </c>
      <c r="C113" t="s">
        <v>21</v>
      </c>
      <c r="D113" t="s">
        <v>17</v>
      </c>
      <c r="E113" s="13">
        <v>202.95</v>
      </c>
      <c r="F113" s="1">
        <v>45292</v>
      </c>
    </row>
    <row r="114" spans="1:6" x14ac:dyDescent="0.25">
      <c r="A114" t="s">
        <v>6</v>
      </c>
      <c r="B114" t="s">
        <v>27</v>
      </c>
      <c r="C114" t="s">
        <v>21</v>
      </c>
      <c r="D114" t="s">
        <v>17</v>
      </c>
      <c r="E114" s="13">
        <v>40.590000000000003</v>
      </c>
      <c r="F114" s="1">
        <v>45292</v>
      </c>
    </row>
    <row r="115" spans="1:6" x14ac:dyDescent="0.25">
      <c r="A115" t="s">
        <v>6</v>
      </c>
      <c r="B115" t="s">
        <v>27</v>
      </c>
      <c r="C115" t="s">
        <v>21</v>
      </c>
      <c r="D115" t="s">
        <v>17</v>
      </c>
      <c r="E115" s="13">
        <v>40.590000000000003</v>
      </c>
      <c r="F115" s="1">
        <v>45292</v>
      </c>
    </row>
    <row r="116" spans="1:6" x14ac:dyDescent="0.25">
      <c r="A116" t="s">
        <v>6</v>
      </c>
      <c r="B116" t="s">
        <v>27</v>
      </c>
      <c r="C116" t="s">
        <v>21</v>
      </c>
      <c r="D116" t="s">
        <v>17</v>
      </c>
      <c r="E116" s="13">
        <v>40.590000000000003</v>
      </c>
      <c r="F116" s="1">
        <v>45292</v>
      </c>
    </row>
    <row r="117" spans="1:6" x14ac:dyDescent="0.25">
      <c r="A117" t="s">
        <v>6</v>
      </c>
      <c r="B117" t="s">
        <v>27</v>
      </c>
      <c r="C117" t="s">
        <v>21</v>
      </c>
      <c r="D117" t="s">
        <v>17</v>
      </c>
      <c r="E117" s="13">
        <v>40.590000000000003</v>
      </c>
      <c r="F117" s="1">
        <v>45292</v>
      </c>
    </row>
    <row r="118" spans="1:6" x14ac:dyDescent="0.25">
      <c r="A118" t="s">
        <v>6</v>
      </c>
      <c r="B118" t="s">
        <v>27</v>
      </c>
      <c r="C118" t="s">
        <v>21</v>
      </c>
      <c r="D118" t="s">
        <v>17</v>
      </c>
      <c r="E118" s="13">
        <v>40.590000000000003</v>
      </c>
      <c r="F118" s="1">
        <v>45292</v>
      </c>
    </row>
    <row r="119" spans="1:6" x14ac:dyDescent="0.25">
      <c r="A119" t="s">
        <v>6</v>
      </c>
      <c r="B119" t="s">
        <v>27</v>
      </c>
      <c r="C119" t="s">
        <v>21</v>
      </c>
      <c r="D119" t="s">
        <v>17</v>
      </c>
      <c r="E119" s="13">
        <v>1000</v>
      </c>
      <c r="F119" s="1">
        <v>45292</v>
      </c>
    </row>
    <row r="120" spans="1:6" x14ac:dyDescent="0.25">
      <c r="A120" t="s">
        <v>6</v>
      </c>
      <c r="B120" t="s">
        <v>27</v>
      </c>
      <c r="C120" t="s">
        <v>21</v>
      </c>
      <c r="D120" t="s">
        <v>17</v>
      </c>
      <c r="E120" s="13">
        <v>200</v>
      </c>
      <c r="F120" s="1">
        <v>45292</v>
      </c>
    </row>
    <row r="121" spans="1:6" x14ac:dyDescent="0.25">
      <c r="A121" t="s">
        <v>6</v>
      </c>
      <c r="B121" t="s">
        <v>27</v>
      </c>
      <c r="C121" t="s">
        <v>21</v>
      </c>
      <c r="D121" t="s">
        <v>17</v>
      </c>
      <c r="E121" s="13">
        <v>200</v>
      </c>
      <c r="F121" s="1">
        <v>45292</v>
      </c>
    </row>
    <row r="122" spans="1:6" x14ac:dyDescent="0.25">
      <c r="A122" t="s">
        <v>6</v>
      </c>
      <c r="B122" t="s">
        <v>27</v>
      </c>
      <c r="C122" t="s">
        <v>21</v>
      </c>
      <c r="D122" t="s">
        <v>17</v>
      </c>
      <c r="E122" s="13">
        <v>200</v>
      </c>
      <c r="F122" s="1">
        <v>45292</v>
      </c>
    </row>
    <row r="123" spans="1:6" x14ac:dyDescent="0.25">
      <c r="A123" t="s">
        <v>6</v>
      </c>
      <c r="B123" t="s">
        <v>27</v>
      </c>
      <c r="C123" t="s">
        <v>21</v>
      </c>
      <c r="D123" t="s">
        <v>17</v>
      </c>
      <c r="E123" s="13">
        <v>200</v>
      </c>
      <c r="F123" s="1">
        <v>45292</v>
      </c>
    </row>
    <row r="124" spans="1:6" x14ac:dyDescent="0.25">
      <c r="A124" t="s">
        <v>6</v>
      </c>
      <c r="B124" t="s">
        <v>27</v>
      </c>
      <c r="C124" t="s">
        <v>21</v>
      </c>
      <c r="D124" t="s">
        <v>17</v>
      </c>
      <c r="E124" s="13">
        <v>200</v>
      </c>
      <c r="F124" s="1">
        <v>45292</v>
      </c>
    </row>
    <row r="125" spans="1:6" x14ac:dyDescent="0.25">
      <c r="A125" t="s">
        <v>6</v>
      </c>
      <c r="B125" t="s">
        <v>20</v>
      </c>
      <c r="C125" t="s">
        <v>21</v>
      </c>
      <c r="D125" t="s">
        <v>28</v>
      </c>
      <c r="E125" s="13">
        <v>33.5</v>
      </c>
      <c r="F125" s="1">
        <v>45293</v>
      </c>
    </row>
    <row r="126" spans="1:6" x14ac:dyDescent="0.25">
      <c r="A126" t="s">
        <v>6</v>
      </c>
      <c r="B126" t="s">
        <v>20</v>
      </c>
      <c r="C126" t="s">
        <v>21</v>
      </c>
      <c r="D126" t="s">
        <v>17</v>
      </c>
      <c r="E126" s="13">
        <v>6.7</v>
      </c>
      <c r="F126" s="1">
        <v>45293</v>
      </c>
    </row>
    <row r="127" spans="1:6" x14ac:dyDescent="0.25">
      <c r="A127" t="s">
        <v>6</v>
      </c>
      <c r="B127" t="s">
        <v>20</v>
      </c>
      <c r="C127" t="s">
        <v>21</v>
      </c>
      <c r="D127" t="s">
        <v>17</v>
      </c>
      <c r="E127" s="13">
        <v>6.7</v>
      </c>
      <c r="F127" s="1">
        <v>45293</v>
      </c>
    </row>
    <row r="128" spans="1:6" x14ac:dyDescent="0.25">
      <c r="A128" t="s">
        <v>6</v>
      </c>
      <c r="B128" t="s">
        <v>20</v>
      </c>
      <c r="C128" t="s">
        <v>21</v>
      </c>
      <c r="D128" t="s">
        <v>17</v>
      </c>
      <c r="E128" s="13">
        <v>6.7</v>
      </c>
      <c r="F128" s="1">
        <v>45293</v>
      </c>
    </row>
    <row r="129" spans="1:6" x14ac:dyDescent="0.25">
      <c r="A129" t="s">
        <v>6</v>
      </c>
      <c r="B129" t="s">
        <v>20</v>
      </c>
      <c r="C129" t="s">
        <v>21</v>
      </c>
      <c r="D129" t="s">
        <v>17</v>
      </c>
      <c r="E129" s="13">
        <v>6.7</v>
      </c>
      <c r="F129" s="1">
        <v>45293</v>
      </c>
    </row>
    <row r="130" spans="1:6" x14ac:dyDescent="0.25">
      <c r="A130" t="s">
        <v>6</v>
      </c>
      <c r="B130" t="s">
        <v>20</v>
      </c>
      <c r="C130" t="s">
        <v>21</v>
      </c>
      <c r="D130" t="s">
        <v>17</v>
      </c>
      <c r="E130" s="13">
        <v>6.7</v>
      </c>
      <c r="F130" s="1">
        <v>45293</v>
      </c>
    </row>
    <row r="131" spans="1:6" x14ac:dyDescent="0.25">
      <c r="A131" t="s">
        <v>6</v>
      </c>
      <c r="B131" t="s">
        <v>19</v>
      </c>
      <c r="C131" t="s">
        <v>21</v>
      </c>
      <c r="D131" t="s">
        <v>17</v>
      </c>
      <c r="E131" s="13">
        <v>10</v>
      </c>
      <c r="F131" s="1">
        <v>45294</v>
      </c>
    </row>
    <row r="132" spans="1:6" x14ac:dyDescent="0.25">
      <c r="A132" t="s">
        <v>6</v>
      </c>
      <c r="B132" t="s">
        <v>19</v>
      </c>
      <c r="C132" t="s">
        <v>21</v>
      </c>
      <c r="D132" t="s">
        <v>17</v>
      </c>
      <c r="E132" s="13">
        <v>2</v>
      </c>
      <c r="F132" s="1">
        <v>45294</v>
      </c>
    </row>
    <row r="133" spans="1:6" x14ac:dyDescent="0.25">
      <c r="A133" t="s">
        <v>6</v>
      </c>
      <c r="B133" t="s">
        <v>19</v>
      </c>
      <c r="C133" t="s">
        <v>21</v>
      </c>
      <c r="D133" t="s">
        <v>17</v>
      </c>
      <c r="E133" s="13">
        <v>2</v>
      </c>
      <c r="F133" s="1">
        <v>45294</v>
      </c>
    </row>
    <row r="134" spans="1:6" x14ac:dyDescent="0.25">
      <c r="A134" t="s">
        <v>6</v>
      </c>
      <c r="B134" t="s">
        <v>19</v>
      </c>
      <c r="C134" t="s">
        <v>21</v>
      </c>
      <c r="D134" t="s">
        <v>17</v>
      </c>
      <c r="E134" s="13">
        <v>2</v>
      </c>
      <c r="F134" s="1">
        <v>45294</v>
      </c>
    </row>
    <row r="135" spans="1:6" x14ac:dyDescent="0.25">
      <c r="A135" t="s">
        <v>6</v>
      </c>
      <c r="B135" t="s">
        <v>19</v>
      </c>
      <c r="C135" t="s">
        <v>21</v>
      </c>
      <c r="D135" t="s">
        <v>17</v>
      </c>
      <c r="E135" s="13">
        <v>2</v>
      </c>
      <c r="F135" s="1">
        <v>45294</v>
      </c>
    </row>
    <row r="136" spans="1:6" x14ac:dyDescent="0.25">
      <c r="A136" t="s">
        <v>6</v>
      </c>
      <c r="B136" t="s">
        <v>19</v>
      </c>
      <c r="C136" t="s">
        <v>21</v>
      </c>
      <c r="D136" t="s">
        <v>17</v>
      </c>
      <c r="E136" s="13">
        <v>2</v>
      </c>
      <c r="F136" s="1">
        <v>45294</v>
      </c>
    </row>
    <row r="137" spans="1:6" x14ac:dyDescent="0.25">
      <c r="A137" t="s">
        <v>6</v>
      </c>
      <c r="B137" t="s">
        <v>19</v>
      </c>
      <c r="C137" t="s">
        <v>21</v>
      </c>
      <c r="D137" t="s">
        <v>17</v>
      </c>
      <c r="E137" s="13">
        <v>-10</v>
      </c>
      <c r="F137" s="1">
        <v>45294</v>
      </c>
    </row>
    <row r="138" spans="1:6" x14ac:dyDescent="0.25">
      <c r="A138" t="s">
        <v>6</v>
      </c>
      <c r="B138" t="s">
        <v>27</v>
      </c>
      <c r="C138" t="s">
        <v>21</v>
      </c>
      <c r="D138" t="s">
        <v>17</v>
      </c>
      <c r="E138" s="13">
        <v>10</v>
      </c>
      <c r="F138" s="1">
        <v>45294</v>
      </c>
    </row>
    <row r="139" spans="1:6" x14ac:dyDescent="0.25">
      <c r="A139" t="s">
        <v>6</v>
      </c>
      <c r="B139" t="s">
        <v>19</v>
      </c>
      <c r="C139" t="s">
        <v>21</v>
      </c>
      <c r="D139" t="s">
        <v>17</v>
      </c>
      <c r="E139" s="13">
        <v>150</v>
      </c>
      <c r="F139" s="1">
        <v>45298</v>
      </c>
    </row>
    <row r="140" spans="1:6" x14ac:dyDescent="0.25">
      <c r="A140" t="s">
        <v>6</v>
      </c>
      <c r="B140" t="s">
        <v>19</v>
      </c>
      <c r="C140" t="s">
        <v>21</v>
      </c>
      <c r="D140" t="s">
        <v>17</v>
      </c>
      <c r="E140" s="13">
        <v>30</v>
      </c>
      <c r="F140" s="1">
        <v>45298</v>
      </c>
    </row>
    <row r="141" spans="1:6" x14ac:dyDescent="0.25">
      <c r="A141" t="s">
        <v>6</v>
      </c>
      <c r="B141" t="s">
        <v>19</v>
      </c>
      <c r="C141" t="s">
        <v>21</v>
      </c>
      <c r="D141" t="s">
        <v>17</v>
      </c>
      <c r="E141" s="13">
        <v>30</v>
      </c>
      <c r="F141" s="1">
        <v>45298</v>
      </c>
    </row>
    <row r="142" spans="1:6" x14ac:dyDescent="0.25">
      <c r="A142" t="s">
        <v>6</v>
      </c>
      <c r="B142" t="s">
        <v>19</v>
      </c>
      <c r="C142" t="s">
        <v>21</v>
      </c>
      <c r="D142" t="s">
        <v>17</v>
      </c>
      <c r="E142" s="13">
        <v>30</v>
      </c>
      <c r="F142" s="1">
        <v>45298</v>
      </c>
    </row>
    <row r="143" spans="1:6" x14ac:dyDescent="0.25">
      <c r="A143" t="s">
        <v>6</v>
      </c>
      <c r="B143" t="s">
        <v>19</v>
      </c>
      <c r="C143" t="s">
        <v>21</v>
      </c>
      <c r="D143" t="s">
        <v>17</v>
      </c>
      <c r="E143" s="13">
        <v>30</v>
      </c>
      <c r="F143" s="1">
        <v>45298</v>
      </c>
    </row>
    <row r="144" spans="1:6" x14ac:dyDescent="0.25">
      <c r="A144" t="s">
        <v>6</v>
      </c>
      <c r="B144" t="s">
        <v>19</v>
      </c>
      <c r="C144" t="s">
        <v>21</v>
      </c>
      <c r="D144" t="s">
        <v>17</v>
      </c>
      <c r="E144" s="13">
        <v>30</v>
      </c>
      <c r="F144" s="1">
        <v>45298</v>
      </c>
    </row>
    <row r="145" spans="1:6" x14ac:dyDescent="0.25">
      <c r="A145" t="s">
        <v>6</v>
      </c>
      <c r="B145" t="s">
        <v>19</v>
      </c>
      <c r="C145" t="s">
        <v>21</v>
      </c>
      <c r="D145" t="s">
        <v>17</v>
      </c>
      <c r="E145" s="13">
        <v>50</v>
      </c>
      <c r="F145" s="1">
        <v>45307</v>
      </c>
    </row>
    <row r="146" spans="1:6" x14ac:dyDescent="0.25">
      <c r="A146" t="s">
        <v>6</v>
      </c>
      <c r="B146" t="s">
        <v>19</v>
      </c>
      <c r="C146" t="s">
        <v>21</v>
      </c>
      <c r="D146" t="s">
        <v>17</v>
      </c>
      <c r="E146" s="13">
        <v>10</v>
      </c>
      <c r="F146" s="1">
        <v>45307</v>
      </c>
    </row>
    <row r="147" spans="1:6" x14ac:dyDescent="0.25">
      <c r="A147" t="s">
        <v>6</v>
      </c>
      <c r="B147" t="s">
        <v>19</v>
      </c>
      <c r="C147" t="s">
        <v>21</v>
      </c>
      <c r="D147" t="s">
        <v>17</v>
      </c>
      <c r="E147" s="13">
        <v>10</v>
      </c>
      <c r="F147" s="1">
        <v>45307</v>
      </c>
    </row>
    <row r="148" spans="1:6" x14ac:dyDescent="0.25">
      <c r="A148" t="s">
        <v>6</v>
      </c>
      <c r="B148" t="s">
        <v>19</v>
      </c>
      <c r="C148" t="s">
        <v>21</v>
      </c>
      <c r="D148" t="s">
        <v>17</v>
      </c>
      <c r="E148" s="13">
        <v>10</v>
      </c>
      <c r="F148" s="1">
        <v>45307</v>
      </c>
    </row>
    <row r="149" spans="1:6" x14ac:dyDescent="0.25">
      <c r="A149" t="s">
        <v>6</v>
      </c>
      <c r="B149" t="s">
        <v>19</v>
      </c>
      <c r="C149" t="s">
        <v>21</v>
      </c>
      <c r="D149" t="s">
        <v>17</v>
      </c>
      <c r="E149" s="13">
        <v>10</v>
      </c>
      <c r="F149" s="1">
        <v>45307</v>
      </c>
    </row>
    <row r="150" spans="1:6" x14ac:dyDescent="0.25">
      <c r="A150" t="s">
        <v>6</v>
      </c>
      <c r="B150" t="s">
        <v>19</v>
      </c>
      <c r="C150" t="s">
        <v>21</v>
      </c>
      <c r="D150" t="s">
        <v>17</v>
      </c>
      <c r="E150" s="13">
        <v>10</v>
      </c>
      <c r="F150" s="1">
        <v>45307</v>
      </c>
    </row>
    <row r="151" spans="1:6" x14ac:dyDescent="0.25">
      <c r="A151" t="s">
        <v>6</v>
      </c>
      <c r="B151" t="s">
        <v>19</v>
      </c>
      <c r="C151" t="s">
        <v>26</v>
      </c>
      <c r="D151" t="s">
        <v>17</v>
      </c>
      <c r="E151" s="13">
        <v>-300</v>
      </c>
      <c r="F151" s="1">
        <v>45307</v>
      </c>
    </row>
    <row r="152" spans="1:6" x14ac:dyDescent="0.25">
      <c r="A152" t="s">
        <v>6</v>
      </c>
      <c r="B152" t="s">
        <v>27</v>
      </c>
      <c r="C152" t="s">
        <v>21</v>
      </c>
      <c r="D152" t="s">
        <v>17</v>
      </c>
      <c r="E152" s="13">
        <v>300</v>
      </c>
      <c r="F152" s="1">
        <v>45307</v>
      </c>
    </row>
    <row r="153" spans="1:6" x14ac:dyDescent="0.25">
      <c r="A153" t="s">
        <v>6</v>
      </c>
      <c r="B153" t="s">
        <v>27</v>
      </c>
      <c r="C153" t="s">
        <v>21</v>
      </c>
      <c r="D153" t="s">
        <v>17</v>
      </c>
      <c r="E153" s="13">
        <v>600</v>
      </c>
      <c r="F153" s="1">
        <v>45325</v>
      </c>
    </row>
    <row r="154" spans="1:6" x14ac:dyDescent="0.25">
      <c r="A154" t="s">
        <v>6</v>
      </c>
      <c r="B154" t="s">
        <v>27</v>
      </c>
      <c r="C154" t="s">
        <v>21</v>
      </c>
      <c r="D154" t="s">
        <v>17</v>
      </c>
      <c r="E154" s="13">
        <v>120</v>
      </c>
      <c r="F154" s="1">
        <v>45325</v>
      </c>
    </row>
    <row r="155" spans="1:6" x14ac:dyDescent="0.25">
      <c r="A155" t="s">
        <v>6</v>
      </c>
      <c r="B155" t="s">
        <v>27</v>
      </c>
      <c r="C155" t="s">
        <v>21</v>
      </c>
      <c r="D155" t="s">
        <v>17</v>
      </c>
      <c r="E155" s="13">
        <v>120</v>
      </c>
      <c r="F155" s="1">
        <v>45325</v>
      </c>
    </row>
    <row r="156" spans="1:6" x14ac:dyDescent="0.25">
      <c r="A156" t="s">
        <v>6</v>
      </c>
      <c r="B156" t="s">
        <v>27</v>
      </c>
      <c r="C156" t="s">
        <v>21</v>
      </c>
      <c r="D156" t="s">
        <v>17</v>
      </c>
      <c r="E156" s="13">
        <v>120</v>
      </c>
      <c r="F156" s="1">
        <v>45325</v>
      </c>
    </row>
    <row r="157" spans="1:6" x14ac:dyDescent="0.25">
      <c r="A157" t="s">
        <v>6</v>
      </c>
      <c r="B157" t="s">
        <v>27</v>
      </c>
      <c r="C157" t="s">
        <v>21</v>
      </c>
      <c r="D157" t="s">
        <v>17</v>
      </c>
      <c r="E157" s="13">
        <v>120</v>
      </c>
      <c r="F157" s="1">
        <v>45325</v>
      </c>
    </row>
    <row r="158" spans="1:6" x14ac:dyDescent="0.25">
      <c r="A158" t="s">
        <v>6</v>
      </c>
      <c r="B158" t="s">
        <v>27</v>
      </c>
      <c r="C158" t="s">
        <v>21</v>
      </c>
      <c r="D158" t="s">
        <v>17</v>
      </c>
      <c r="E158" s="13">
        <v>120</v>
      </c>
      <c r="F158" s="1">
        <v>45325</v>
      </c>
    </row>
    <row r="159" spans="1:6" x14ac:dyDescent="0.25">
      <c r="A159" t="s">
        <v>6</v>
      </c>
      <c r="B159" t="s">
        <v>27</v>
      </c>
      <c r="C159" t="s">
        <v>21</v>
      </c>
      <c r="D159" t="s">
        <v>17</v>
      </c>
      <c r="E159" s="13">
        <v>-200</v>
      </c>
      <c r="F159" s="1">
        <v>45325</v>
      </c>
    </row>
    <row r="160" spans="1:6" x14ac:dyDescent="0.25">
      <c r="A160" t="s">
        <v>6</v>
      </c>
      <c r="B160" t="s">
        <v>27</v>
      </c>
      <c r="C160" t="s">
        <v>21</v>
      </c>
      <c r="D160" t="s">
        <v>17</v>
      </c>
      <c r="E160" s="13">
        <v>200</v>
      </c>
      <c r="F160" s="1">
        <v>45325</v>
      </c>
    </row>
    <row r="161" spans="1:6" x14ac:dyDescent="0.25">
      <c r="A161" t="s">
        <v>6</v>
      </c>
      <c r="B161" t="s">
        <v>27</v>
      </c>
      <c r="C161" t="s">
        <v>21</v>
      </c>
      <c r="D161" t="s">
        <v>17</v>
      </c>
      <c r="E161" s="13">
        <v>-100</v>
      </c>
      <c r="F161" s="1">
        <v>45325</v>
      </c>
    </row>
    <row r="162" spans="1:6" x14ac:dyDescent="0.25">
      <c r="A162" t="s">
        <v>6</v>
      </c>
      <c r="B162" t="s">
        <v>27</v>
      </c>
      <c r="C162" t="s">
        <v>21</v>
      </c>
      <c r="D162" t="s">
        <v>17</v>
      </c>
      <c r="E162" s="13">
        <v>100</v>
      </c>
      <c r="F162" s="1">
        <v>45325</v>
      </c>
    </row>
    <row r="163" spans="1:6" x14ac:dyDescent="0.25">
      <c r="A163" t="s">
        <v>6</v>
      </c>
      <c r="B163" t="s">
        <v>27</v>
      </c>
      <c r="C163" t="s">
        <v>21</v>
      </c>
      <c r="D163" t="s">
        <v>17</v>
      </c>
      <c r="E163" s="13">
        <v>500</v>
      </c>
      <c r="F163" s="1">
        <v>45325</v>
      </c>
    </row>
    <row r="164" spans="1:6" x14ac:dyDescent="0.25">
      <c r="A164" t="s">
        <v>6</v>
      </c>
      <c r="B164" t="s">
        <v>27</v>
      </c>
      <c r="C164" t="s">
        <v>21</v>
      </c>
      <c r="D164" t="s">
        <v>28</v>
      </c>
      <c r="E164" s="13">
        <v>500</v>
      </c>
      <c r="F164" s="1">
        <v>45335</v>
      </c>
    </row>
    <row r="165" spans="1:6" x14ac:dyDescent="0.25">
      <c r="A165" t="s">
        <v>6</v>
      </c>
      <c r="B165" t="s">
        <v>27</v>
      </c>
      <c r="C165" t="s">
        <v>21</v>
      </c>
      <c r="D165" t="s">
        <v>28</v>
      </c>
      <c r="E165" s="13">
        <v>500</v>
      </c>
      <c r="F165" s="1">
        <v>45335</v>
      </c>
    </row>
    <row r="166" spans="1:6" x14ac:dyDescent="0.25">
      <c r="A166" t="s">
        <v>6</v>
      </c>
      <c r="B166" t="s">
        <v>27</v>
      </c>
      <c r="C166" t="s">
        <v>21</v>
      </c>
      <c r="D166" t="s">
        <v>28</v>
      </c>
      <c r="E166" s="13">
        <v>-500</v>
      </c>
      <c r="F166" s="1">
        <v>45325</v>
      </c>
    </row>
    <row r="167" spans="1:6" x14ac:dyDescent="0.25">
      <c r="A167" t="s">
        <v>6</v>
      </c>
      <c r="B167" t="s">
        <v>27</v>
      </c>
      <c r="C167" t="s">
        <v>21</v>
      </c>
      <c r="D167" t="s">
        <v>28</v>
      </c>
      <c r="E167" s="13">
        <v>500</v>
      </c>
      <c r="F167" s="1">
        <v>45335</v>
      </c>
    </row>
    <row r="168" spans="1:6" x14ac:dyDescent="0.25">
      <c r="A168" t="s">
        <v>6</v>
      </c>
      <c r="B168" t="s">
        <v>27</v>
      </c>
      <c r="C168" t="s">
        <v>21</v>
      </c>
      <c r="D168" t="s">
        <v>17</v>
      </c>
      <c r="E168" s="13">
        <v>600</v>
      </c>
      <c r="F168" s="1">
        <v>45354</v>
      </c>
    </row>
    <row r="169" spans="1:6" x14ac:dyDescent="0.25">
      <c r="A169" t="s">
        <v>6</v>
      </c>
      <c r="B169" t="s">
        <v>27</v>
      </c>
      <c r="C169" t="s">
        <v>21</v>
      </c>
      <c r="D169" t="s">
        <v>17</v>
      </c>
      <c r="E169" s="13">
        <v>120</v>
      </c>
      <c r="F169" s="1">
        <v>45354</v>
      </c>
    </row>
    <row r="170" spans="1:6" x14ac:dyDescent="0.25">
      <c r="A170" t="s">
        <v>6</v>
      </c>
      <c r="B170" t="s">
        <v>27</v>
      </c>
      <c r="C170" t="s">
        <v>21</v>
      </c>
      <c r="D170" t="s">
        <v>17</v>
      </c>
      <c r="E170" s="13">
        <v>120</v>
      </c>
      <c r="F170" s="1">
        <v>45354</v>
      </c>
    </row>
    <row r="171" spans="1:6" x14ac:dyDescent="0.25">
      <c r="A171" t="s">
        <v>6</v>
      </c>
      <c r="B171" t="s">
        <v>27</v>
      </c>
      <c r="C171" t="s">
        <v>21</v>
      </c>
      <c r="D171" t="s">
        <v>17</v>
      </c>
      <c r="E171" s="13">
        <v>120</v>
      </c>
      <c r="F171" s="1">
        <v>45354</v>
      </c>
    </row>
    <row r="172" spans="1:6" x14ac:dyDescent="0.25">
      <c r="A172" t="s">
        <v>6</v>
      </c>
      <c r="B172" t="s">
        <v>27</v>
      </c>
      <c r="C172" t="s">
        <v>21</v>
      </c>
      <c r="D172" t="s">
        <v>17</v>
      </c>
      <c r="E172" s="13">
        <v>120</v>
      </c>
      <c r="F172" s="1">
        <v>45354</v>
      </c>
    </row>
    <row r="173" spans="1:6" x14ac:dyDescent="0.25">
      <c r="A173" t="s">
        <v>6</v>
      </c>
      <c r="B173" t="s">
        <v>27</v>
      </c>
      <c r="C173" t="s">
        <v>21</v>
      </c>
      <c r="D173" t="s">
        <v>17</v>
      </c>
      <c r="E173" s="13">
        <v>120</v>
      </c>
      <c r="F173" s="1">
        <v>45354</v>
      </c>
    </row>
    <row r="174" spans="1:6" x14ac:dyDescent="0.25">
      <c r="A174" t="s">
        <v>6</v>
      </c>
      <c r="B174" t="s">
        <v>27</v>
      </c>
      <c r="C174" t="s">
        <v>21</v>
      </c>
      <c r="D174" t="s">
        <v>17</v>
      </c>
      <c r="E174" s="13">
        <v>172.5</v>
      </c>
      <c r="F174" s="1">
        <v>45354</v>
      </c>
    </row>
    <row r="175" spans="1:6" x14ac:dyDescent="0.25">
      <c r="A175" t="s">
        <v>6</v>
      </c>
      <c r="B175" t="s">
        <v>27</v>
      </c>
      <c r="C175" t="s">
        <v>21</v>
      </c>
      <c r="D175" t="s">
        <v>17</v>
      </c>
      <c r="E175" s="13">
        <v>34.5</v>
      </c>
      <c r="F175" s="1">
        <v>45354</v>
      </c>
    </row>
    <row r="176" spans="1:6" x14ac:dyDescent="0.25">
      <c r="A176" t="s">
        <v>6</v>
      </c>
      <c r="B176" t="s">
        <v>27</v>
      </c>
      <c r="C176" t="s">
        <v>21</v>
      </c>
      <c r="D176" t="s">
        <v>17</v>
      </c>
      <c r="E176" s="13">
        <v>34.5</v>
      </c>
      <c r="F176" s="1">
        <v>45354</v>
      </c>
    </row>
    <row r="177" spans="1:6" x14ac:dyDescent="0.25">
      <c r="A177" t="s">
        <v>6</v>
      </c>
      <c r="B177" t="s">
        <v>27</v>
      </c>
      <c r="C177" t="s">
        <v>21</v>
      </c>
      <c r="D177" t="s">
        <v>17</v>
      </c>
      <c r="E177" s="13">
        <v>34.5</v>
      </c>
      <c r="F177" s="1">
        <v>45354</v>
      </c>
    </row>
    <row r="178" spans="1:6" x14ac:dyDescent="0.25">
      <c r="A178" t="s">
        <v>6</v>
      </c>
      <c r="B178" t="s">
        <v>27</v>
      </c>
      <c r="C178" t="s">
        <v>21</v>
      </c>
      <c r="D178" t="s">
        <v>17</v>
      </c>
      <c r="E178" s="13">
        <v>34.5</v>
      </c>
      <c r="F178" s="1">
        <v>45354</v>
      </c>
    </row>
    <row r="179" spans="1:6" x14ac:dyDescent="0.25">
      <c r="A179" t="s">
        <v>6</v>
      </c>
      <c r="B179" t="s">
        <v>27</v>
      </c>
      <c r="C179" t="s">
        <v>21</v>
      </c>
      <c r="D179" t="s">
        <v>17</v>
      </c>
      <c r="E179" s="13">
        <v>34.5</v>
      </c>
      <c r="F179" s="1">
        <v>45354</v>
      </c>
    </row>
    <row r="180" spans="1:6" x14ac:dyDescent="0.25">
      <c r="A180" t="s">
        <v>6</v>
      </c>
      <c r="B180" t="s">
        <v>27</v>
      </c>
      <c r="C180" t="s">
        <v>21</v>
      </c>
      <c r="D180" t="s">
        <v>17</v>
      </c>
      <c r="E180" s="13">
        <v>900</v>
      </c>
      <c r="F180" s="1">
        <v>45474</v>
      </c>
    </row>
    <row r="181" spans="1:6" x14ac:dyDescent="0.25">
      <c r="A181" t="s">
        <v>6</v>
      </c>
      <c r="B181" t="s">
        <v>27</v>
      </c>
      <c r="C181" t="s">
        <v>21</v>
      </c>
      <c r="D181" t="s">
        <v>17</v>
      </c>
      <c r="E181" s="13">
        <v>180</v>
      </c>
      <c r="F181" s="1">
        <v>45474</v>
      </c>
    </row>
    <row r="182" spans="1:6" x14ac:dyDescent="0.25">
      <c r="A182" t="s">
        <v>6</v>
      </c>
      <c r="B182" t="s">
        <v>27</v>
      </c>
      <c r="C182" t="s">
        <v>21</v>
      </c>
      <c r="D182" t="s">
        <v>17</v>
      </c>
      <c r="E182" s="13">
        <v>180</v>
      </c>
      <c r="F182" s="1">
        <v>45474</v>
      </c>
    </row>
    <row r="183" spans="1:6" x14ac:dyDescent="0.25">
      <c r="A183" t="s">
        <v>6</v>
      </c>
      <c r="B183" t="s">
        <v>27</v>
      </c>
      <c r="C183" t="s">
        <v>21</v>
      </c>
      <c r="D183" t="s">
        <v>17</v>
      </c>
      <c r="E183" s="13">
        <v>180</v>
      </c>
      <c r="F183" s="1">
        <v>45474</v>
      </c>
    </row>
    <row r="184" spans="1:6" x14ac:dyDescent="0.25">
      <c r="A184" t="s">
        <v>6</v>
      </c>
      <c r="B184" t="s">
        <v>27</v>
      </c>
      <c r="C184" t="s">
        <v>21</v>
      </c>
      <c r="D184" t="s">
        <v>17</v>
      </c>
      <c r="E184" s="13">
        <v>180</v>
      </c>
      <c r="F184" s="1">
        <v>45474</v>
      </c>
    </row>
    <row r="185" spans="1:6" x14ac:dyDescent="0.25">
      <c r="A185" t="s">
        <v>6</v>
      </c>
      <c r="B185" t="s">
        <v>27</v>
      </c>
      <c r="C185" t="s">
        <v>21</v>
      </c>
      <c r="D185" t="s">
        <v>17</v>
      </c>
      <c r="E185" s="13">
        <v>180</v>
      </c>
      <c r="F185" s="1">
        <v>45474</v>
      </c>
    </row>
    <row r="186" spans="1:6" x14ac:dyDescent="0.25">
      <c r="A186" t="s">
        <v>6</v>
      </c>
      <c r="B186" t="s">
        <v>27</v>
      </c>
      <c r="C186" t="s">
        <v>21</v>
      </c>
      <c r="D186" t="s">
        <v>17</v>
      </c>
      <c r="E186" s="13">
        <v>600</v>
      </c>
      <c r="F186" s="1">
        <v>45466</v>
      </c>
    </row>
    <row r="187" spans="1:6" x14ac:dyDescent="0.25">
      <c r="A187" t="s">
        <v>6</v>
      </c>
      <c r="B187" t="s">
        <v>27</v>
      </c>
      <c r="C187" t="s">
        <v>21</v>
      </c>
      <c r="D187" t="s">
        <v>17</v>
      </c>
      <c r="E187" s="13">
        <v>120</v>
      </c>
      <c r="F187" s="1">
        <v>45466</v>
      </c>
    </row>
    <row r="188" spans="1:6" x14ac:dyDescent="0.25">
      <c r="A188" t="s">
        <v>6</v>
      </c>
      <c r="B188" t="s">
        <v>27</v>
      </c>
      <c r="C188" t="s">
        <v>21</v>
      </c>
      <c r="D188" t="s">
        <v>28</v>
      </c>
      <c r="E188" s="13">
        <v>120</v>
      </c>
      <c r="F188" s="1">
        <v>45466</v>
      </c>
    </row>
    <row r="189" spans="1:6" x14ac:dyDescent="0.25">
      <c r="A189" t="s">
        <v>6</v>
      </c>
      <c r="B189" t="s">
        <v>27</v>
      </c>
      <c r="C189" t="s">
        <v>21</v>
      </c>
      <c r="D189" t="s">
        <v>28</v>
      </c>
      <c r="E189" s="13">
        <v>120</v>
      </c>
      <c r="F189" s="1">
        <v>45466</v>
      </c>
    </row>
    <row r="190" spans="1:6" x14ac:dyDescent="0.25">
      <c r="A190" t="s">
        <v>6</v>
      </c>
      <c r="B190" t="s">
        <v>27</v>
      </c>
      <c r="C190" t="s">
        <v>21</v>
      </c>
      <c r="D190" t="s">
        <v>28</v>
      </c>
      <c r="E190" s="13">
        <v>120</v>
      </c>
      <c r="F190" s="1">
        <v>45466</v>
      </c>
    </row>
    <row r="191" spans="1:6" x14ac:dyDescent="0.25">
      <c r="A191" t="s">
        <v>6</v>
      </c>
      <c r="B191" t="s">
        <v>27</v>
      </c>
      <c r="C191" t="s">
        <v>21</v>
      </c>
      <c r="D191" t="s">
        <v>28</v>
      </c>
      <c r="E191" s="13">
        <v>120</v>
      </c>
      <c r="F191" s="1">
        <v>45466</v>
      </c>
    </row>
    <row r="192" spans="1:6" x14ac:dyDescent="0.25">
      <c r="A192" t="s">
        <v>6</v>
      </c>
      <c r="B192" t="s">
        <v>19</v>
      </c>
      <c r="C192" t="s">
        <v>21</v>
      </c>
      <c r="D192" t="s">
        <v>17</v>
      </c>
      <c r="E192" s="13">
        <v>238</v>
      </c>
      <c r="F192" s="1">
        <v>45385</v>
      </c>
    </row>
    <row r="193" spans="1:6" x14ac:dyDescent="0.25">
      <c r="A193" t="s">
        <v>6</v>
      </c>
      <c r="B193" t="s">
        <v>20</v>
      </c>
      <c r="C193" t="s">
        <v>21</v>
      </c>
      <c r="D193" t="s">
        <v>17</v>
      </c>
      <c r="E193" s="13">
        <v>2354.1</v>
      </c>
      <c r="F193" s="1">
        <v>45293</v>
      </c>
    </row>
    <row r="194" spans="1:6" x14ac:dyDescent="0.25">
      <c r="A194" t="s">
        <v>6</v>
      </c>
      <c r="B194" t="s">
        <v>27</v>
      </c>
      <c r="C194" t="s">
        <v>21</v>
      </c>
      <c r="D194" t="s">
        <v>17</v>
      </c>
      <c r="E194" s="13">
        <v>486.59</v>
      </c>
      <c r="F194" s="1">
        <v>45385</v>
      </c>
    </row>
    <row r="195" spans="1:6" x14ac:dyDescent="0.25">
      <c r="A195" t="s">
        <v>6</v>
      </c>
      <c r="B195" t="s">
        <v>27</v>
      </c>
      <c r="C195" t="s">
        <v>21</v>
      </c>
      <c r="D195" t="s">
        <v>17</v>
      </c>
      <c r="E195" s="13">
        <v>868.94</v>
      </c>
      <c r="F195" s="1">
        <v>45385</v>
      </c>
    </row>
    <row r="196" spans="1:6" x14ac:dyDescent="0.25">
      <c r="A196" t="s">
        <v>6</v>
      </c>
      <c r="B196" t="s">
        <v>20</v>
      </c>
      <c r="C196" t="s">
        <v>21</v>
      </c>
      <c r="D196" t="s">
        <v>17</v>
      </c>
      <c r="E196" s="13">
        <v>-500</v>
      </c>
      <c r="F196" s="1">
        <v>45445</v>
      </c>
    </row>
    <row r="197" spans="1:6" x14ac:dyDescent="0.25">
      <c r="A197" t="s">
        <v>6</v>
      </c>
      <c r="B197" t="s">
        <v>27</v>
      </c>
      <c r="C197" t="s">
        <v>21</v>
      </c>
      <c r="D197" t="s">
        <v>17</v>
      </c>
      <c r="E197" s="13">
        <v>500</v>
      </c>
      <c r="F197" s="1">
        <v>45445</v>
      </c>
    </row>
    <row r="198" spans="1:6" x14ac:dyDescent="0.25">
      <c r="A198" t="s">
        <v>6</v>
      </c>
      <c r="B198" t="s">
        <v>27</v>
      </c>
      <c r="C198" t="s">
        <v>21</v>
      </c>
      <c r="D198" t="s">
        <v>17</v>
      </c>
      <c r="E198" s="13">
        <v>486.59</v>
      </c>
      <c r="F198" s="1">
        <v>45385</v>
      </c>
    </row>
    <row r="199" spans="1:6" x14ac:dyDescent="0.25">
      <c r="A199" t="s">
        <v>6</v>
      </c>
      <c r="B199" t="s">
        <v>27</v>
      </c>
      <c r="C199" t="s">
        <v>21</v>
      </c>
      <c r="D199" t="s">
        <v>28</v>
      </c>
      <c r="E199" s="13">
        <v>18.3</v>
      </c>
      <c r="F199" s="1">
        <v>45498</v>
      </c>
    </row>
    <row r="200" spans="1:6" x14ac:dyDescent="0.25">
      <c r="A200" t="s">
        <v>18</v>
      </c>
      <c r="B200" t="s">
        <v>20</v>
      </c>
      <c r="C200" t="s">
        <v>8</v>
      </c>
      <c r="D200" t="s">
        <v>22</v>
      </c>
      <c r="E200" s="13">
        <v>1</v>
      </c>
      <c r="F200" s="1">
        <v>45498</v>
      </c>
    </row>
    <row r="201" spans="1:6" x14ac:dyDescent="0.25">
      <c r="A201" t="s">
        <v>6</v>
      </c>
      <c r="B201" t="s">
        <v>27</v>
      </c>
      <c r="C201" t="s">
        <v>21</v>
      </c>
      <c r="D201" t="s">
        <v>28</v>
      </c>
      <c r="E201" s="13">
        <v>25</v>
      </c>
      <c r="F201" s="1">
        <v>45498</v>
      </c>
    </row>
    <row r="202" spans="1:6" x14ac:dyDescent="0.25">
      <c r="A202" t="s">
        <v>18</v>
      </c>
      <c r="B202" t="s">
        <v>20</v>
      </c>
      <c r="C202" t="s">
        <v>9</v>
      </c>
      <c r="D202" t="s">
        <v>13</v>
      </c>
      <c r="E202" s="13">
        <v>30</v>
      </c>
      <c r="F202" s="1">
        <v>45498</v>
      </c>
    </row>
    <row r="203" spans="1:6" x14ac:dyDescent="0.25">
      <c r="A203" t="s">
        <v>18</v>
      </c>
      <c r="B203" t="s">
        <v>20</v>
      </c>
      <c r="C203" t="s">
        <v>8</v>
      </c>
      <c r="D203" t="s">
        <v>22</v>
      </c>
      <c r="E203" s="13">
        <v>24.2</v>
      </c>
      <c r="F203" s="1">
        <v>45498</v>
      </c>
    </row>
    <row r="204" spans="1:6" x14ac:dyDescent="0.25">
      <c r="A204" t="s">
        <v>18</v>
      </c>
      <c r="B204" t="s">
        <v>27</v>
      </c>
      <c r="C204" t="s">
        <v>8</v>
      </c>
      <c r="D204" t="s">
        <v>22</v>
      </c>
      <c r="E204" s="13">
        <v>11.6</v>
      </c>
      <c r="F204" s="1">
        <v>45484</v>
      </c>
    </row>
    <row r="205" spans="1:6" x14ac:dyDescent="0.25">
      <c r="A205" t="s">
        <v>18</v>
      </c>
      <c r="B205" t="s">
        <v>19</v>
      </c>
      <c r="C205" t="s">
        <v>8</v>
      </c>
      <c r="D205" t="s">
        <v>22</v>
      </c>
      <c r="E205" s="13">
        <v>1</v>
      </c>
      <c r="F205" s="1">
        <v>45499</v>
      </c>
    </row>
    <row r="206" spans="1:6" x14ac:dyDescent="0.25">
      <c r="A206" t="s">
        <v>18</v>
      </c>
      <c r="B206" t="s">
        <v>20</v>
      </c>
      <c r="C206" t="s">
        <v>8</v>
      </c>
      <c r="D206" t="s">
        <v>22</v>
      </c>
      <c r="E206" s="13">
        <v>16</v>
      </c>
      <c r="F206" s="1">
        <v>45500</v>
      </c>
    </row>
    <row r="207" spans="1:6" x14ac:dyDescent="0.25">
      <c r="A207" t="s">
        <v>18</v>
      </c>
      <c r="B207" t="s">
        <v>20</v>
      </c>
      <c r="C207" t="s">
        <v>9</v>
      </c>
      <c r="D207" t="s">
        <v>29</v>
      </c>
      <c r="E207" s="13">
        <v>9</v>
      </c>
      <c r="F207" s="1">
        <v>45500</v>
      </c>
    </row>
    <row r="208" spans="1:6" x14ac:dyDescent="0.25">
      <c r="A208" t="s">
        <v>18</v>
      </c>
      <c r="B208" t="s">
        <v>19</v>
      </c>
      <c r="C208" t="s">
        <v>9</v>
      </c>
      <c r="D208" t="s">
        <v>13</v>
      </c>
      <c r="E208" s="13">
        <v>100</v>
      </c>
      <c r="F208" s="1">
        <v>45500</v>
      </c>
    </row>
    <row r="209" spans="1:6" x14ac:dyDescent="0.25">
      <c r="A209" t="s">
        <v>18</v>
      </c>
      <c r="B209" t="s">
        <v>20</v>
      </c>
      <c r="C209" t="s">
        <v>9</v>
      </c>
      <c r="D209" t="s">
        <v>10</v>
      </c>
      <c r="E209" s="13">
        <v>30</v>
      </c>
      <c r="F209" s="1">
        <v>45500</v>
      </c>
    </row>
    <row r="210" spans="1:6" x14ac:dyDescent="0.25">
      <c r="A210" t="s">
        <v>18</v>
      </c>
      <c r="B210" t="s">
        <v>19</v>
      </c>
      <c r="C210" t="s">
        <v>10</v>
      </c>
      <c r="D210" t="s">
        <v>13</v>
      </c>
      <c r="E210" s="13">
        <v>500</v>
      </c>
      <c r="F210" s="1">
        <v>45529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2BA9-3D8B-49A6-B840-0AB98555D695}">
  <dimension ref="A1:Q14"/>
  <sheetViews>
    <sheetView workbookViewId="0"/>
  </sheetViews>
  <sheetFormatPr baseColWidth="10" defaultRowHeight="15" x14ac:dyDescent="0.25"/>
  <cols>
    <col min="2" max="2" width="2" customWidth="1"/>
    <col min="4" max="4" width="3.140625" customWidth="1"/>
    <col min="5" max="5" width="11.5703125" customWidth="1"/>
    <col min="6" max="6" width="3.140625" customWidth="1"/>
    <col min="7" max="7" width="20" bestFit="1" customWidth="1"/>
    <col min="8" max="8" width="2.42578125" customWidth="1"/>
    <col min="9" max="9" width="16.140625" customWidth="1"/>
    <col min="10" max="10" width="4" customWidth="1"/>
    <col min="11" max="11" width="23.28515625" customWidth="1"/>
    <col min="12" max="12" width="4.42578125" customWidth="1"/>
    <col min="13" max="13" width="13.28515625" customWidth="1"/>
    <col min="14" max="14" width="4.140625" customWidth="1"/>
    <col min="15" max="15" width="14.42578125" customWidth="1"/>
    <col min="16" max="16" width="4" customWidth="1"/>
    <col min="18" max="18" width="3.140625" customWidth="1"/>
  </cols>
  <sheetData>
    <row r="1" spans="1:17" x14ac:dyDescent="0.25">
      <c r="A1" t="s">
        <v>0</v>
      </c>
      <c r="C1" t="s">
        <v>1</v>
      </c>
      <c r="E1" t="s">
        <v>6</v>
      </c>
      <c r="G1" t="s">
        <v>18</v>
      </c>
      <c r="I1" t="s">
        <v>8</v>
      </c>
      <c r="K1" t="s">
        <v>9</v>
      </c>
      <c r="M1" t="s">
        <v>10</v>
      </c>
      <c r="O1" t="s">
        <v>11</v>
      </c>
      <c r="Q1" t="s">
        <v>21</v>
      </c>
    </row>
    <row r="2" spans="1:17" x14ac:dyDescent="0.25">
      <c r="A2" t="s">
        <v>6</v>
      </c>
      <c r="C2" t="s">
        <v>7</v>
      </c>
      <c r="E2" t="s">
        <v>21</v>
      </c>
      <c r="G2" t="s">
        <v>8</v>
      </c>
      <c r="I2" t="s">
        <v>22</v>
      </c>
      <c r="K2" t="s">
        <v>12</v>
      </c>
      <c r="M2" t="s">
        <v>13</v>
      </c>
      <c r="O2" t="s">
        <v>23</v>
      </c>
      <c r="Q2" t="s">
        <v>17</v>
      </c>
    </row>
    <row r="3" spans="1:17" x14ac:dyDescent="0.25">
      <c r="A3" t="s">
        <v>18</v>
      </c>
      <c r="C3" t="s">
        <v>19</v>
      </c>
      <c r="G3" t="s">
        <v>9</v>
      </c>
      <c r="K3" t="s">
        <v>14</v>
      </c>
      <c r="M3" t="s">
        <v>15</v>
      </c>
      <c r="O3" t="s">
        <v>16</v>
      </c>
      <c r="Q3" t="s">
        <v>25</v>
      </c>
    </row>
    <row r="4" spans="1:17" x14ac:dyDescent="0.25">
      <c r="C4" t="s">
        <v>20</v>
      </c>
      <c r="G4" t="s">
        <v>45</v>
      </c>
      <c r="O4" t="s">
        <v>24</v>
      </c>
    </row>
    <row r="5" spans="1:17" x14ac:dyDescent="0.25">
      <c r="G5" t="s">
        <v>46</v>
      </c>
    </row>
    <row r="8" spans="1:17" ht="3.75" customHeight="1" x14ac:dyDescent="0.25"/>
    <row r="9" spans="1:17" x14ac:dyDescent="0.25">
      <c r="G9" t="s">
        <v>2</v>
      </c>
    </row>
    <row r="10" spans="1:17" x14ac:dyDescent="0.25">
      <c r="G10" t="s">
        <v>8</v>
      </c>
    </row>
    <row r="11" spans="1:17" x14ac:dyDescent="0.25">
      <c r="G11" t="s">
        <v>9</v>
      </c>
    </row>
    <row r="12" spans="1:17" x14ac:dyDescent="0.25">
      <c r="G12" t="s">
        <v>45</v>
      </c>
    </row>
    <row r="13" spans="1:17" x14ac:dyDescent="0.25">
      <c r="G13" t="s">
        <v>46</v>
      </c>
    </row>
    <row r="14" spans="1:17" x14ac:dyDescent="0.25">
      <c r="G14" t="s">
        <v>21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0C631-9B8B-4039-AFD8-C0688BC1DBA5}">
  <dimension ref="A1:S53"/>
  <sheetViews>
    <sheetView showGridLines="0" topLeftCell="F1" zoomScale="70" zoomScaleNormal="70" workbookViewId="0">
      <selection activeCell="L24" sqref="L24"/>
    </sheetView>
  </sheetViews>
  <sheetFormatPr baseColWidth="10" defaultRowHeight="15" x14ac:dyDescent="0.25"/>
  <cols>
    <col min="1" max="1" width="21.7109375" bestFit="1" customWidth="1"/>
    <col min="2" max="2" width="21" bestFit="1" customWidth="1"/>
    <col min="3" max="3" width="10" bestFit="1" customWidth="1"/>
    <col min="4" max="4" width="3.5703125" style="20" customWidth="1"/>
    <col min="5" max="5" width="23.42578125" bestFit="1" customWidth="1"/>
    <col min="6" max="6" width="21.7109375" bestFit="1" customWidth="1"/>
    <col min="7" max="7" width="21" bestFit="1" customWidth="1"/>
    <col min="8" max="8" width="6" style="20" customWidth="1"/>
    <col min="9" max="9" width="23.42578125" bestFit="1" customWidth="1"/>
    <col min="10" max="10" width="21" bestFit="1" customWidth="1"/>
    <col min="11" max="11" width="23.42578125" bestFit="1" customWidth="1"/>
    <col min="12" max="12" width="27.85546875" bestFit="1" customWidth="1"/>
    <col min="13" max="13" width="21.7109375" bestFit="1" customWidth="1"/>
    <col min="15" max="15" width="20" bestFit="1" customWidth="1"/>
    <col min="16" max="17" width="21.7109375" bestFit="1" customWidth="1"/>
    <col min="18" max="18" width="21" bestFit="1" customWidth="1"/>
    <col min="19" max="19" width="13.42578125" bestFit="1" customWidth="1"/>
    <col min="20" max="20" width="12.85546875" bestFit="1" customWidth="1"/>
  </cols>
  <sheetData>
    <row r="1" spans="1:19" x14ac:dyDescent="0.25">
      <c r="A1" t="s">
        <v>30</v>
      </c>
      <c r="B1" t="s">
        <v>31</v>
      </c>
      <c r="C1" t="s">
        <v>32</v>
      </c>
      <c r="E1" s="3" t="s">
        <v>33</v>
      </c>
      <c r="F1" t="s">
        <v>30</v>
      </c>
      <c r="G1" t="s">
        <v>31</v>
      </c>
      <c r="I1" s="3" t="s">
        <v>33</v>
      </c>
      <c r="J1" t="s">
        <v>31</v>
      </c>
      <c r="L1" s="3" t="s">
        <v>33</v>
      </c>
      <c r="M1" t="s">
        <v>30</v>
      </c>
    </row>
    <row r="2" spans="1:19" x14ac:dyDescent="0.25">
      <c r="A2" s="6">
        <v>15331.42</v>
      </c>
      <c r="B2" s="2">
        <v>9399.86</v>
      </c>
      <c r="C2" s="2">
        <v>5931.5599999999995</v>
      </c>
      <c r="E2" s="4" t="s">
        <v>36</v>
      </c>
      <c r="F2" s="2">
        <v>5663</v>
      </c>
      <c r="G2" s="2">
        <v>3135</v>
      </c>
      <c r="I2" s="4" t="s">
        <v>22</v>
      </c>
      <c r="J2" s="2">
        <v>4901.2</v>
      </c>
      <c r="L2" s="4" t="s">
        <v>28</v>
      </c>
      <c r="M2" s="2">
        <v>2272.8000000000002</v>
      </c>
    </row>
    <row r="3" spans="1:19" x14ac:dyDescent="0.25">
      <c r="E3" s="4" t="s">
        <v>37</v>
      </c>
      <c r="F3" s="2">
        <v>3000</v>
      </c>
      <c r="G3" s="2">
        <v>1133.5</v>
      </c>
      <c r="I3" s="4" t="s">
        <v>10</v>
      </c>
      <c r="J3" s="2">
        <v>154</v>
      </c>
      <c r="L3" s="4" t="s">
        <v>17</v>
      </c>
      <c r="M3" s="2">
        <v>13058.62</v>
      </c>
      <c r="P3" s="7" t="s">
        <v>42</v>
      </c>
      <c r="Q3" s="7" t="s">
        <v>30</v>
      </c>
      <c r="R3" s="7" t="s">
        <v>31</v>
      </c>
      <c r="S3" s="7" t="s">
        <v>32</v>
      </c>
    </row>
    <row r="4" spans="1:19" x14ac:dyDescent="0.25">
      <c r="E4" s="4" t="s">
        <v>40</v>
      </c>
      <c r="F4" s="2">
        <v>1545</v>
      </c>
      <c r="G4" s="2">
        <v>963</v>
      </c>
      <c r="I4" s="4" t="s">
        <v>29</v>
      </c>
      <c r="J4" s="2">
        <v>1011.4</v>
      </c>
      <c r="L4" s="4" t="s">
        <v>41</v>
      </c>
      <c r="M4" s="2">
        <v>15331.42</v>
      </c>
      <c r="P4" s="8" t="s">
        <v>22</v>
      </c>
      <c r="Q4" s="9"/>
      <c r="R4" s="9">
        <v>4901.2</v>
      </c>
      <c r="S4" s="9">
        <v>-4901.2</v>
      </c>
    </row>
    <row r="5" spans="1:19" x14ac:dyDescent="0.25">
      <c r="E5" s="4" t="s">
        <v>34</v>
      </c>
      <c r="F5" s="2">
        <v>2080.12</v>
      </c>
      <c r="G5" s="2">
        <v>1872.25</v>
      </c>
      <c r="I5" s="4" t="s">
        <v>12</v>
      </c>
      <c r="J5" s="2">
        <v>10</v>
      </c>
      <c r="P5" s="8" t="s">
        <v>13</v>
      </c>
      <c r="Q5" s="9"/>
      <c r="R5" s="9">
        <v>2919.4</v>
      </c>
      <c r="S5" s="9">
        <v>-2919.4</v>
      </c>
    </row>
    <row r="6" spans="1:19" x14ac:dyDescent="0.25">
      <c r="E6" s="4" t="s">
        <v>39</v>
      </c>
      <c r="F6" s="2">
        <v>1200</v>
      </c>
      <c r="G6" s="2">
        <v>1376.8</v>
      </c>
      <c r="I6" s="4" t="s">
        <v>13</v>
      </c>
      <c r="J6" s="2">
        <v>2919.4</v>
      </c>
      <c r="P6" s="8" t="s">
        <v>29</v>
      </c>
      <c r="Q6" s="9"/>
      <c r="R6" s="9">
        <v>1011.4</v>
      </c>
      <c r="S6" s="9">
        <v>-1011.4</v>
      </c>
    </row>
    <row r="7" spans="1:19" x14ac:dyDescent="0.25">
      <c r="E7" s="4" t="s">
        <v>38</v>
      </c>
      <c r="F7" s="2">
        <v>1843.3</v>
      </c>
      <c r="G7" s="2">
        <v>419.31</v>
      </c>
      <c r="I7" s="4" t="s">
        <v>23</v>
      </c>
      <c r="J7" s="2">
        <v>403.86</v>
      </c>
      <c r="L7" s="4" t="s">
        <v>28</v>
      </c>
      <c r="M7" s="2">
        <f>_xlfn.XLOOKUP(L7,$L$2:$L$3,$M$2:$M$3,0)</f>
        <v>2272.8000000000002</v>
      </c>
      <c r="P7" s="8" t="s">
        <v>23</v>
      </c>
      <c r="Q7" s="9"/>
      <c r="R7" s="9">
        <v>403.86</v>
      </c>
      <c r="S7" s="9">
        <v>-403.86</v>
      </c>
    </row>
    <row r="8" spans="1:19" x14ac:dyDescent="0.25">
      <c r="E8" s="4" t="s">
        <v>35</v>
      </c>
      <c r="F8" s="2"/>
      <c r="G8" s="2">
        <v>500</v>
      </c>
      <c r="I8" s="4" t="s">
        <v>41</v>
      </c>
      <c r="J8" s="2">
        <v>9399.86</v>
      </c>
      <c r="L8" s="4" t="s">
        <v>17</v>
      </c>
      <c r="M8" s="2">
        <f>_xlfn.XLOOKUP(L8,$L$2:$L$3,$M$2:$M$3,0)</f>
        <v>13058.62</v>
      </c>
      <c r="P8" s="8" t="s">
        <v>10</v>
      </c>
      <c r="Q8" s="9"/>
      <c r="R8" s="9">
        <v>154</v>
      </c>
      <c r="S8" s="9">
        <v>-154</v>
      </c>
    </row>
    <row r="9" spans="1:19" x14ac:dyDescent="0.25">
      <c r="E9" s="4" t="s">
        <v>41</v>
      </c>
      <c r="F9" s="2">
        <v>15331.42</v>
      </c>
      <c r="G9" s="2">
        <v>9399.86</v>
      </c>
      <c r="I9" t="s">
        <v>22</v>
      </c>
      <c r="J9">
        <v>4901.2</v>
      </c>
      <c r="P9" s="8" t="s">
        <v>12</v>
      </c>
      <c r="Q9" s="9"/>
      <c r="R9" s="9">
        <v>10</v>
      </c>
      <c r="S9" s="9">
        <v>-10</v>
      </c>
    </row>
    <row r="10" spans="1:19" x14ac:dyDescent="0.25">
      <c r="I10" t="s">
        <v>10</v>
      </c>
      <c r="J10">
        <v>154</v>
      </c>
      <c r="P10" s="8" t="s">
        <v>28</v>
      </c>
      <c r="Q10" s="9">
        <v>2272.8000000000002</v>
      </c>
      <c r="R10" s="9"/>
      <c r="S10" s="9">
        <v>2272.8000000000002</v>
      </c>
    </row>
    <row r="11" spans="1:19" x14ac:dyDescent="0.25">
      <c r="I11" t="s">
        <v>29</v>
      </c>
      <c r="J11">
        <v>1011.4</v>
      </c>
      <c r="P11" s="8" t="s">
        <v>17</v>
      </c>
      <c r="Q11" s="9">
        <v>13058.62</v>
      </c>
      <c r="R11" s="9"/>
      <c r="S11" s="9">
        <v>13058.62</v>
      </c>
    </row>
    <row r="12" spans="1:19" x14ac:dyDescent="0.25">
      <c r="I12" t="s">
        <v>12</v>
      </c>
      <c r="J12">
        <v>10</v>
      </c>
    </row>
    <row r="13" spans="1:19" x14ac:dyDescent="0.25">
      <c r="I13" t="s">
        <v>13</v>
      </c>
      <c r="J13">
        <v>2919.4</v>
      </c>
    </row>
    <row r="14" spans="1:19" x14ac:dyDescent="0.25">
      <c r="I14" t="s">
        <v>23</v>
      </c>
      <c r="J14">
        <v>403.86</v>
      </c>
    </row>
    <row r="17" spans="16:16" x14ac:dyDescent="0.25">
      <c r="P17" t="s">
        <v>30</v>
      </c>
    </row>
    <row r="18" spans="16:16" x14ac:dyDescent="0.25">
      <c r="P18" s="14">
        <v>15331.42</v>
      </c>
    </row>
    <row r="33" spans="11:12" x14ac:dyDescent="0.25">
      <c r="K33" s="3" t="s">
        <v>33</v>
      </c>
      <c r="L33" t="s">
        <v>50</v>
      </c>
    </row>
    <row r="34" spans="11:12" x14ac:dyDescent="0.25">
      <c r="K34" s="4" t="s">
        <v>17</v>
      </c>
      <c r="L34" s="2">
        <v>13058.62</v>
      </c>
    </row>
    <row r="35" spans="11:12" x14ac:dyDescent="0.25">
      <c r="K35" s="4" t="s">
        <v>28</v>
      </c>
      <c r="L35" s="2">
        <v>2272.8000000000002</v>
      </c>
    </row>
    <row r="36" spans="11:12" x14ac:dyDescent="0.25">
      <c r="K36" s="4" t="s">
        <v>12</v>
      </c>
      <c r="L36" s="2">
        <v>-10</v>
      </c>
    </row>
    <row r="37" spans="11:12" x14ac:dyDescent="0.25">
      <c r="K37" s="4" t="s">
        <v>10</v>
      </c>
      <c r="L37" s="2">
        <v>-154</v>
      </c>
    </row>
    <row r="38" spans="11:12" x14ac:dyDescent="0.25">
      <c r="K38" s="4" t="s">
        <v>23</v>
      </c>
      <c r="L38" s="2">
        <v>-403.86</v>
      </c>
    </row>
    <row r="39" spans="11:12" x14ac:dyDescent="0.25">
      <c r="K39" s="4" t="s">
        <v>29</v>
      </c>
      <c r="L39" s="2">
        <v>-1011.4</v>
      </c>
    </row>
    <row r="40" spans="11:12" x14ac:dyDescent="0.25">
      <c r="K40" s="4" t="s">
        <v>13</v>
      </c>
      <c r="L40" s="2">
        <v>-2919.4</v>
      </c>
    </row>
    <row r="41" spans="11:12" x14ac:dyDescent="0.25">
      <c r="K41" s="4" t="s">
        <v>22</v>
      </c>
      <c r="L41" s="2">
        <v>-4901.2</v>
      </c>
    </row>
    <row r="42" spans="11:12" x14ac:dyDescent="0.25">
      <c r="K42" s="4" t="s">
        <v>41</v>
      </c>
      <c r="L42" s="2">
        <v>5931.56</v>
      </c>
    </row>
    <row r="45" spans="11:12" x14ac:dyDescent="0.25">
      <c r="K45" t="s">
        <v>17</v>
      </c>
      <c r="L45">
        <v>13058.62</v>
      </c>
    </row>
    <row r="46" spans="11:12" x14ac:dyDescent="0.25">
      <c r="K46" t="s">
        <v>28</v>
      </c>
      <c r="L46">
        <v>2272.8000000000002</v>
      </c>
    </row>
    <row r="47" spans="11:12" x14ac:dyDescent="0.25">
      <c r="K47" t="s">
        <v>12</v>
      </c>
      <c r="L47">
        <v>-10</v>
      </c>
    </row>
    <row r="48" spans="11:12" x14ac:dyDescent="0.25">
      <c r="K48" t="s">
        <v>10</v>
      </c>
      <c r="L48">
        <v>-154</v>
      </c>
    </row>
    <row r="49" spans="11:12" x14ac:dyDescent="0.25">
      <c r="K49" t="s">
        <v>23</v>
      </c>
      <c r="L49">
        <v>-403.86</v>
      </c>
    </row>
    <row r="50" spans="11:12" x14ac:dyDescent="0.25">
      <c r="K50" t="s">
        <v>29</v>
      </c>
      <c r="L50">
        <v>-1011.4</v>
      </c>
    </row>
    <row r="51" spans="11:12" x14ac:dyDescent="0.25">
      <c r="K51" t="s">
        <v>13</v>
      </c>
      <c r="L51">
        <v>-2919.4</v>
      </c>
    </row>
    <row r="52" spans="11:12" x14ac:dyDescent="0.25">
      <c r="K52" t="s">
        <v>22</v>
      </c>
      <c r="L52">
        <v>-4901.2</v>
      </c>
    </row>
    <row r="53" spans="11:12" x14ac:dyDescent="0.25">
      <c r="K53" t="s">
        <v>41</v>
      </c>
      <c r="L53">
        <v>5931.56</v>
      </c>
    </row>
  </sheetData>
  <conditionalFormatting pivot="1" sqref="Q4:R11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{3955A8CE-A2CF-4269-BD3C-8936FBC0F582}</x14:id>
        </ext>
      </extLst>
    </cfRule>
  </conditionalFormatting>
  <conditionalFormatting pivot="1" sqref="R4:R1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{3DDD8918-2162-4FEE-ACEB-B20B1ABF814A}</x14:id>
        </ext>
      </extLst>
    </cfRule>
  </conditionalFormatting>
  <conditionalFormatting pivot="1" sqref="S4:S11">
    <cfRule type="iconSet" priority="1">
      <iconSet iconSet="3Symbols">
        <cfvo type="percent" val="0"/>
        <cfvo type="num" val="0"/>
        <cfvo type="num" val="0"/>
      </iconSet>
    </cfRule>
  </conditionalFormatting>
  <pageMargins left="0.7" right="0.7" top="0.75" bottom="0.75" header="0.3" footer="0.3"/>
  <drawing r:id="rId8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3955A8CE-A2CF-4269-BD3C-8936FBC0F5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Q4:R11</xm:sqref>
        </x14:conditionalFormatting>
        <x14:conditionalFormatting xmlns:xm="http://schemas.microsoft.com/office/excel/2006/main" pivot="1">
          <x14:cfRule type="dataBar" id="{3DDD8918-2162-4FEE-ACEB-B20B1ABF81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R4:R11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5AFAB-B2C2-47DB-BF53-72352DB4FBCC}">
  <dimension ref="A1"/>
  <sheetViews>
    <sheetView showGridLines="0" zoomScaleNormal="100" workbookViewId="0">
      <selection activeCell="T22" sqref="T22"/>
    </sheetView>
  </sheetViews>
  <sheetFormatPr baseColWidth="10" defaultRowHeight="15" x14ac:dyDescent="0.25"/>
  <cols>
    <col min="1" max="16384" width="11.42578125" style="5"/>
  </cols>
  <sheetData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37FFE-9327-4C9A-91C8-12FC55900041}">
  <dimension ref="A1:R36"/>
  <sheetViews>
    <sheetView showGridLines="0" tabSelected="1" workbookViewId="0">
      <selection activeCell="G18" sqref="G18"/>
    </sheetView>
  </sheetViews>
  <sheetFormatPr baseColWidth="10" defaultRowHeight="15" x14ac:dyDescent="0.25"/>
  <cols>
    <col min="1" max="10" width="11.42578125" style="5"/>
    <col min="11" max="11" width="3" style="5" customWidth="1"/>
    <col min="12" max="16384" width="11.42578125" style="5"/>
  </cols>
  <sheetData>
    <row r="1" spans="1:18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9"/>
      <c r="L1" s="10"/>
      <c r="M1" s="10"/>
      <c r="N1" s="10"/>
      <c r="O1" s="10"/>
      <c r="P1" s="10"/>
      <c r="Q1" s="10"/>
      <c r="R1" s="10"/>
    </row>
    <row r="2" spans="1:18" x14ac:dyDescent="0.25">
      <c r="A2" s="10"/>
      <c r="B2" s="10"/>
      <c r="C2" s="10"/>
      <c r="D2" s="10"/>
      <c r="E2" s="10"/>
      <c r="F2" s="10"/>
      <c r="G2" s="10"/>
      <c r="H2" s="10"/>
      <c r="I2" s="10"/>
      <c r="J2" s="10"/>
      <c r="K2" s="19"/>
      <c r="L2" s="10"/>
      <c r="M2" s="10"/>
      <c r="N2" s="10"/>
      <c r="O2" s="10"/>
      <c r="P2" s="10"/>
      <c r="Q2" s="10"/>
      <c r="R2" s="10"/>
    </row>
    <row r="3" spans="1:18" x14ac:dyDescent="0.25">
      <c r="A3" s="10"/>
      <c r="B3" s="10"/>
      <c r="C3" s="10"/>
      <c r="D3" s="10"/>
      <c r="E3" s="10"/>
      <c r="F3" s="10"/>
      <c r="G3" s="10"/>
      <c r="H3" s="10"/>
      <c r="I3" s="10"/>
      <c r="J3" s="10"/>
      <c r="K3" s="19"/>
      <c r="L3" s="10"/>
      <c r="M3" s="10"/>
      <c r="N3" s="10"/>
      <c r="O3" s="10"/>
      <c r="P3" s="10"/>
      <c r="Q3" s="10"/>
      <c r="R3" s="10"/>
    </row>
    <row r="4" spans="1:18" x14ac:dyDescent="0.25">
      <c r="A4" s="10"/>
      <c r="B4" s="10"/>
      <c r="C4" s="10"/>
      <c r="D4" s="10"/>
      <c r="E4" s="10"/>
      <c r="F4" s="10"/>
      <c r="G4" s="10"/>
      <c r="H4" s="10"/>
      <c r="I4" s="10"/>
      <c r="J4" s="10"/>
      <c r="K4" s="19"/>
      <c r="L4" s="10"/>
      <c r="M4" s="10"/>
      <c r="N4" s="10"/>
      <c r="O4" s="10"/>
      <c r="P4" s="10"/>
      <c r="Q4" s="10"/>
      <c r="R4" s="10"/>
    </row>
    <row r="5" spans="1:18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9"/>
      <c r="L5" s="10"/>
      <c r="M5" s="10"/>
      <c r="N5" s="10"/>
      <c r="O5" s="10"/>
      <c r="P5" s="10"/>
      <c r="Q5" s="10"/>
      <c r="R5" s="10"/>
    </row>
    <row r="6" spans="1:18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9"/>
      <c r="L6" s="10"/>
      <c r="M6" s="10"/>
      <c r="N6" s="10"/>
      <c r="O6" s="10"/>
      <c r="P6" s="10"/>
      <c r="Q6" s="10"/>
      <c r="R6" s="10"/>
    </row>
    <row r="7" spans="1:18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9"/>
      <c r="L7" s="10"/>
      <c r="M7" s="10"/>
      <c r="N7" s="10"/>
      <c r="O7" s="10"/>
      <c r="P7" s="10"/>
      <c r="Q7" s="10"/>
      <c r="R7" s="10"/>
    </row>
    <row r="8" spans="1:18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9"/>
      <c r="L8" s="10"/>
      <c r="M8" s="10"/>
      <c r="N8" s="10"/>
      <c r="O8" s="10"/>
      <c r="P8" s="10"/>
      <c r="Q8" s="10"/>
      <c r="R8" s="10"/>
    </row>
    <row r="9" spans="1:18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9"/>
      <c r="L9" s="10"/>
      <c r="M9" s="10"/>
      <c r="N9" s="10"/>
      <c r="O9" s="10"/>
      <c r="P9" s="10"/>
      <c r="Q9" s="10"/>
      <c r="R9" s="10"/>
    </row>
    <row r="10" spans="1:18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9"/>
      <c r="L10" s="10"/>
      <c r="M10" s="10"/>
      <c r="N10" s="10"/>
      <c r="O10" s="10"/>
      <c r="P10" s="10"/>
      <c r="Q10" s="10"/>
      <c r="R10" s="10"/>
    </row>
    <row r="11" spans="1:18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9"/>
      <c r="L11" s="10"/>
      <c r="M11" s="10"/>
      <c r="N11" s="10"/>
      <c r="O11" s="10"/>
      <c r="P11" s="10"/>
      <c r="Q11" s="10"/>
      <c r="R11" s="10"/>
    </row>
    <row r="12" spans="1:18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9"/>
      <c r="L12" s="10"/>
      <c r="M12" s="10"/>
      <c r="N12" s="10"/>
      <c r="O12" s="10"/>
      <c r="P12" s="10"/>
      <c r="Q12" s="10"/>
      <c r="R12" s="10"/>
    </row>
    <row r="13" spans="1:18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9"/>
      <c r="L13" s="10"/>
      <c r="M13" s="10"/>
      <c r="N13" s="10"/>
      <c r="O13" s="10"/>
      <c r="P13" s="10"/>
      <c r="Q13" s="10"/>
      <c r="R13" s="10"/>
    </row>
    <row r="14" spans="1:18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9"/>
      <c r="L14" s="10"/>
      <c r="M14" s="10"/>
      <c r="N14" s="10"/>
      <c r="O14" s="10"/>
      <c r="P14" s="10"/>
      <c r="Q14" s="10"/>
      <c r="R14" s="10"/>
    </row>
    <row r="15" spans="1:18" x14ac:dyDescent="0.25">
      <c r="A15" s="10"/>
      <c r="B15" s="10"/>
      <c r="C15" s="10"/>
      <c r="D15" s="10"/>
      <c r="E15" s="10" t="s">
        <v>43</v>
      </c>
      <c r="F15" s="10"/>
      <c r="G15" s="10"/>
      <c r="H15" s="10"/>
      <c r="I15" s="10"/>
      <c r="J15" s="10"/>
      <c r="K15" s="19"/>
      <c r="L15" s="10"/>
      <c r="M15" s="10" t="s">
        <v>44</v>
      </c>
      <c r="N15" s="10"/>
      <c r="O15" s="10"/>
      <c r="P15" s="10"/>
      <c r="Q15" s="10"/>
      <c r="R15" s="10"/>
    </row>
    <row r="16" spans="1:18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9"/>
      <c r="L16" s="10"/>
      <c r="M16" s="10"/>
      <c r="N16" s="10"/>
      <c r="O16" s="10"/>
      <c r="P16" s="10"/>
      <c r="Q16" s="10"/>
      <c r="R16" s="10"/>
    </row>
    <row r="17" spans="1:18" x14ac:dyDescent="0.25">
      <c r="A17" s="10"/>
      <c r="B17" s="10"/>
      <c r="C17" s="10"/>
      <c r="D17" s="10"/>
      <c r="E17" s="11" t="s">
        <v>0</v>
      </c>
      <c r="F17" s="11" t="s">
        <v>18</v>
      </c>
      <c r="G17" s="10"/>
      <c r="H17" s="11" t="s">
        <v>1</v>
      </c>
      <c r="I17" s="11"/>
      <c r="J17" s="10"/>
      <c r="K17" s="19"/>
      <c r="L17" s="10"/>
      <c r="M17" s="11" t="s">
        <v>0</v>
      </c>
      <c r="N17" s="11" t="s">
        <v>6</v>
      </c>
      <c r="O17" s="10"/>
      <c r="P17" s="11" t="s">
        <v>1</v>
      </c>
      <c r="Q17" s="11"/>
      <c r="R17" s="10"/>
    </row>
    <row r="18" spans="1:18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9"/>
      <c r="L18" s="10"/>
      <c r="M18" s="10"/>
      <c r="N18" s="10"/>
      <c r="O18" s="10"/>
      <c r="P18" s="10"/>
      <c r="Q18" s="10"/>
      <c r="R18" s="10"/>
    </row>
    <row r="19" spans="1:18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9"/>
      <c r="L19" s="10"/>
      <c r="M19" s="10"/>
      <c r="N19" s="10"/>
      <c r="O19" s="10"/>
      <c r="P19" s="10"/>
      <c r="Q19" s="10"/>
      <c r="R19" s="10"/>
    </row>
    <row r="20" spans="1:18" x14ac:dyDescent="0.25">
      <c r="A20" s="10"/>
      <c r="B20" s="10"/>
      <c r="C20" s="10"/>
      <c r="D20" s="10"/>
      <c r="E20" s="11" t="s">
        <v>2</v>
      </c>
      <c r="F20" s="11"/>
      <c r="G20" s="10"/>
      <c r="H20" s="11" t="s">
        <v>3</v>
      </c>
      <c r="I20" s="11"/>
      <c r="J20" s="10"/>
      <c r="K20" s="19"/>
      <c r="L20" s="10"/>
      <c r="M20" s="11" t="s">
        <v>2</v>
      </c>
      <c r="N20" s="11"/>
      <c r="O20" s="10"/>
      <c r="P20" s="11" t="s">
        <v>3</v>
      </c>
      <c r="Q20" s="11"/>
      <c r="R20" s="10"/>
    </row>
    <row r="21" spans="1:18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9"/>
      <c r="L21" s="10"/>
      <c r="M21" s="10"/>
      <c r="N21" s="10"/>
      <c r="O21" s="10"/>
      <c r="P21" s="10"/>
      <c r="Q21" s="10"/>
      <c r="R21" s="10"/>
    </row>
    <row r="22" spans="1:18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9"/>
      <c r="L22" s="10"/>
      <c r="M22" s="10"/>
      <c r="N22" s="10"/>
      <c r="O22" s="10"/>
      <c r="P22" s="10"/>
      <c r="Q22" s="10"/>
      <c r="R22" s="10"/>
    </row>
    <row r="23" spans="1:18" x14ac:dyDescent="0.25">
      <c r="A23" s="10"/>
      <c r="B23" s="10"/>
      <c r="C23" s="10"/>
      <c r="D23" s="10"/>
      <c r="E23" s="11" t="s">
        <v>5</v>
      </c>
      <c r="F23" s="12">
        <f ca="1">TODAY()</f>
        <v>45710</v>
      </c>
      <c r="G23" s="10"/>
      <c r="H23" s="11" t="s">
        <v>4</v>
      </c>
      <c r="I23" s="17"/>
      <c r="J23" s="10"/>
      <c r="K23" s="19"/>
      <c r="L23" s="10"/>
      <c r="M23" s="11" t="s">
        <v>5</v>
      </c>
      <c r="N23" s="12"/>
      <c r="O23" s="10"/>
      <c r="P23" s="11" t="s">
        <v>4</v>
      </c>
      <c r="Q23" s="11"/>
      <c r="R23" s="10"/>
    </row>
    <row r="24" spans="1:18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9"/>
      <c r="L24" s="10"/>
      <c r="M24" s="10"/>
      <c r="N24" s="10"/>
      <c r="O24" s="10"/>
      <c r="P24" s="10"/>
      <c r="Q24" s="10"/>
      <c r="R24" s="10"/>
    </row>
    <row r="25" spans="1:18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9"/>
      <c r="L25" s="10"/>
      <c r="M25" s="10"/>
      <c r="N25" s="10"/>
      <c r="O25" s="10"/>
      <c r="P25" s="10"/>
      <c r="Q25" s="10"/>
      <c r="R25" s="10"/>
    </row>
    <row r="26" spans="1:18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9"/>
      <c r="L26" s="10"/>
      <c r="M26" s="10"/>
      <c r="N26" s="10"/>
      <c r="O26" s="10"/>
      <c r="P26" s="10"/>
      <c r="Q26" s="10"/>
      <c r="R26" s="10"/>
    </row>
    <row r="27" spans="1:18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9"/>
      <c r="L27" s="10"/>
      <c r="M27" s="10"/>
      <c r="N27" s="10"/>
      <c r="O27" s="10"/>
      <c r="P27" s="10"/>
      <c r="Q27" s="10"/>
      <c r="R27" s="10"/>
    </row>
    <row r="28" spans="1:18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9"/>
      <c r="L28" s="10"/>
      <c r="M28" s="10"/>
      <c r="N28" s="10"/>
      <c r="O28" s="10"/>
      <c r="P28" s="10"/>
      <c r="Q28" s="10"/>
      <c r="R28" s="10"/>
    </row>
    <row r="29" spans="1:18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9"/>
      <c r="L29" s="10"/>
      <c r="M29" s="10"/>
      <c r="N29" s="10"/>
      <c r="O29" s="10"/>
      <c r="P29" s="10"/>
      <c r="Q29" s="10"/>
      <c r="R29" s="10"/>
    </row>
    <row r="30" spans="1:18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9"/>
      <c r="L30" s="10"/>
      <c r="M30" s="10"/>
      <c r="N30" s="10"/>
      <c r="O30" s="10"/>
      <c r="P30" s="10"/>
      <c r="Q30" s="10"/>
      <c r="R30" s="10"/>
    </row>
    <row r="31" spans="1:18" x14ac:dyDescent="0.25">
      <c r="A31" s="10"/>
      <c r="B31" s="10"/>
      <c r="C31" s="10"/>
      <c r="D31" s="10"/>
      <c r="E31" s="10" t="s">
        <v>47</v>
      </c>
      <c r="F31" s="10"/>
      <c r="G31" s="10"/>
      <c r="H31" s="10"/>
      <c r="I31" s="10"/>
      <c r="J31" s="10"/>
      <c r="K31" s="19"/>
      <c r="L31" s="10"/>
      <c r="M31" s="10" t="s">
        <v>48</v>
      </c>
      <c r="N31" s="10"/>
      <c r="O31" s="10"/>
      <c r="P31" s="10"/>
      <c r="Q31" s="10"/>
      <c r="R31" s="10"/>
    </row>
    <row r="32" spans="1:18" x14ac:dyDescent="0.25">
      <c r="A32" s="10"/>
      <c r="B32" s="10"/>
      <c r="C32" s="10"/>
      <c r="D32" s="16" t="s">
        <v>0</v>
      </c>
      <c r="E32" s="11" t="s">
        <v>49</v>
      </c>
      <c r="F32" s="11" t="s">
        <v>2</v>
      </c>
      <c r="G32" s="11" t="s">
        <v>3</v>
      </c>
      <c r="H32" s="11" t="s">
        <v>4</v>
      </c>
      <c r="I32" s="11" t="s">
        <v>5</v>
      </c>
      <c r="J32" s="10"/>
      <c r="K32" s="19"/>
      <c r="L32" s="15" t="s">
        <v>0</v>
      </c>
      <c r="M32" s="11" t="s">
        <v>49</v>
      </c>
      <c r="N32" s="11" t="s">
        <v>2</v>
      </c>
      <c r="O32" s="11" t="s">
        <v>3</v>
      </c>
      <c r="P32" s="11" t="s">
        <v>4</v>
      </c>
      <c r="Q32" s="11" t="s">
        <v>5</v>
      </c>
      <c r="R32" s="10"/>
    </row>
    <row r="33" spans="1:18" x14ac:dyDescent="0.25">
      <c r="A33" s="10"/>
      <c r="B33" s="10"/>
      <c r="C33" s="10"/>
      <c r="D33" s="16" t="str">
        <f>F17</f>
        <v>EGRESO</v>
      </c>
      <c r="E33" s="11">
        <f>$I$17</f>
        <v>0</v>
      </c>
      <c r="F33" s="11">
        <f>$F$20</f>
        <v>0</v>
      </c>
      <c r="G33" s="11">
        <f>$I$20</f>
        <v>0</v>
      </c>
      <c r="H33" s="17">
        <f>$I$23</f>
        <v>0</v>
      </c>
      <c r="I33" s="12">
        <f ca="1">$F$23</f>
        <v>45710</v>
      </c>
      <c r="J33" s="10"/>
      <c r="K33" s="19"/>
      <c r="L33" s="18" t="str">
        <f>$N$17</f>
        <v>INGRESO</v>
      </c>
      <c r="M33" s="11">
        <f>$Q$17</f>
        <v>0</v>
      </c>
      <c r="N33" s="11">
        <f>$N$20</f>
        <v>0</v>
      </c>
      <c r="O33" s="11">
        <f>$Q$20</f>
        <v>0</v>
      </c>
      <c r="P33" s="17">
        <f>$Q$23</f>
        <v>0</v>
      </c>
      <c r="Q33" s="12">
        <f>$N$23</f>
        <v>0</v>
      </c>
      <c r="R33" s="10"/>
    </row>
    <row r="34" spans="1:18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9"/>
      <c r="L34" s="10"/>
      <c r="M34" s="10"/>
      <c r="N34" s="10"/>
      <c r="O34" s="10"/>
      <c r="P34" s="10"/>
      <c r="Q34" s="10"/>
      <c r="R34" s="10"/>
    </row>
    <row r="35" spans="1:18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9"/>
      <c r="L35" s="10"/>
      <c r="M35" s="10"/>
      <c r="N35" s="10"/>
      <c r="O35" s="10"/>
      <c r="P35" s="10"/>
      <c r="Q35" s="10"/>
      <c r="R35" s="10"/>
    </row>
    <row r="36" spans="1:18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9"/>
      <c r="L36" s="10"/>
      <c r="M36" s="10"/>
      <c r="N36" s="10"/>
      <c r="O36" s="10"/>
      <c r="P36" s="10"/>
      <c r="Q36" s="10"/>
      <c r="R36" s="10"/>
    </row>
  </sheetData>
  <dataValidations count="6">
    <dataValidation type="list" allowBlank="1" showInputMessage="1" showErrorMessage="1" sqref="F17 N17" xr:uid="{B5112CA3-0991-4CF2-8563-F572E2804F93}">
      <formula1>TIPO</formula1>
    </dataValidation>
    <dataValidation type="list" allowBlank="1" showInputMessage="1" showErrorMessage="1" sqref="I17 Q17" xr:uid="{D6B8D106-45B8-4292-99BF-0BC53979AD86}">
      <formula1>CUENTA</formula1>
    </dataValidation>
    <dataValidation type="list" allowBlank="1" showInputMessage="1" showErrorMessage="1" sqref="N20" xr:uid="{CBC795B3-D284-40AB-8263-D47B229A0572}">
      <formula1>INGRESO</formula1>
    </dataValidation>
    <dataValidation type="list" allowBlank="1" showInputMessage="1" showErrorMessage="1" sqref="Q20" xr:uid="{2A33C59A-32DF-4F13-96EE-A62AD8971C4A}">
      <formula1>INDIRECT($N$20)</formula1>
    </dataValidation>
    <dataValidation type="list" allowBlank="1" showInputMessage="1" showErrorMessage="1" sqref="F20" xr:uid="{5EA4D474-BE98-44F9-A717-EA88DEC48F71}">
      <formula1>EGRESO</formula1>
    </dataValidation>
    <dataValidation type="list" allowBlank="1" showInputMessage="1" showErrorMessage="1" sqref="I20" xr:uid="{C3B581F0-0A6D-4135-A7B0-510CED3EA2F6}">
      <formula1>INDIRECT($F$20)</formula1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Props1.xml><?xml version="1.0" encoding="utf-8"?>
<ds:datastoreItem xmlns:ds="http://schemas.openxmlformats.org/officeDocument/2006/customXml" ds:itemID="{C2294A48-CA85-4BEB-B081-B4B8D08A0D83}">
  <ds:schemaRefs/>
</ds:datastoreItem>
</file>

<file path=customXml/itemProps2.xml><?xml version="1.0" encoding="utf-8"?>
<ds:datastoreItem xmlns:ds="http://schemas.openxmlformats.org/officeDocument/2006/customXml" ds:itemID="{456B0517-E0EF-4599-ABCE-A79D621ABAD8}">
  <ds:schemaRefs/>
</ds:datastoreItem>
</file>

<file path=customXml/itemProps3.xml><?xml version="1.0" encoding="utf-8"?>
<ds:datastoreItem xmlns:ds="http://schemas.openxmlformats.org/officeDocument/2006/customXml" ds:itemID="{4DA2ECDA-31F8-4C23-B41B-60B16BF59F5C}">
  <ds:schemaRefs/>
</ds:datastoreItem>
</file>

<file path=customXml/itemProps4.xml><?xml version="1.0" encoding="utf-8"?>
<ds:datastoreItem xmlns:ds="http://schemas.openxmlformats.org/officeDocument/2006/customXml" ds:itemID="{E724741C-DDD1-41F5-93DE-51CCF02D393E}">
  <ds:schemaRefs/>
</ds:datastoreItem>
</file>

<file path=customXml/itemProps5.xml><?xml version="1.0" encoding="utf-8"?>
<ds:datastoreItem xmlns:ds="http://schemas.openxmlformats.org/officeDocument/2006/customXml" ds:itemID="{8CDE9831-14D0-4DF7-90D9-62EFCE5B9A24}">
  <ds:schemaRefs/>
</ds:datastoreItem>
</file>

<file path=customXml/itemProps6.xml><?xml version="1.0" encoding="utf-8"?>
<ds:datastoreItem xmlns:ds="http://schemas.openxmlformats.org/officeDocument/2006/customXml" ds:itemID="{7E52EA2A-615D-476B-9B91-4911119098FB}">
  <ds:schemaRefs/>
</ds:datastoreItem>
</file>

<file path=customXml/itemProps7.xml><?xml version="1.0" encoding="utf-8"?>
<ds:datastoreItem xmlns:ds="http://schemas.openxmlformats.org/officeDocument/2006/customXml" ds:itemID="{A6B026F5-37A3-4225-8129-FCC7F93E6B67}">
  <ds:schemaRefs/>
</ds:datastoreItem>
</file>

<file path=customXml/itemProps8.xml><?xml version="1.0" encoding="utf-8"?>
<ds:datastoreItem xmlns:ds="http://schemas.openxmlformats.org/officeDocument/2006/customXml" ds:itemID="{A62EF60D-7FD9-4CB5-825C-D0E4DB7D5F98}">
  <ds:schemaRefs/>
</ds:datastoreItem>
</file>

<file path=customXml/itemProps9.xml><?xml version="1.0" encoding="utf-8"?>
<ds:datastoreItem xmlns:ds="http://schemas.openxmlformats.org/officeDocument/2006/customXml" ds:itemID="{5B508611-13B6-4BAF-9234-FC5B1F8E09C0}">
  <ds:schemaRefs/>
</ds:datastoreItem>
</file>

<file path=customXml/itemProps10.xml><?xml version="1.0" encoding="utf-8"?>
<ds:datastoreItem xmlns:ds="http://schemas.openxmlformats.org/officeDocument/2006/customXml" ds:itemID="{1555305E-DD3D-4F21-B245-40D1C3CD488D}">
  <ds:schemaRefs/>
</ds:datastoreItem>
</file>

<file path=customXml/itemProps11.xml><?xml version="1.0" encoding="utf-8"?>
<ds:datastoreItem xmlns:ds="http://schemas.openxmlformats.org/officeDocument/2006/customXml" ds:itemID="{3BDB7E19-C27E-4C0F-8DE4-C8BECFC7F27A}">
  <ds:schemaRefs/>
</ds:datastoreItem>
</file>

<file path=customXml/itemProps12.xml><?xml version="1.0" encoding="utf-8"?>
<ds:datastoreItem xmlns:ds="http://schemas.openxmlformats.org/officeDocument/2006/customXml" ds:itemID="{9116D9F6-5A63-43CC-AF35-016A396D3DA5}">
  <ds:schemaRefs/>
</ds:datastoreItem>
</file>

<file path=customXml/itemProps13.xml><?xml version="1.0" encoding="utf-8"?>
<ds:datastoreItem xmlns:ds="http://schemas.openxmlformats.org/officeDocument/2006/customXml" ds:itemID="{B17502DD-239F-4A4A-B8B2-ED1F0942D64A}">
  <ds:schemaRefs/>
</ds:datastoreItem>
</file>

<file path=customXml/itemProps14.xml><?xml version="1.0" encoding="utf-8"?>
<ds:datastoreItem xmlns:ds="http://schemas.openxmlformats.org/officeDocument/2006/customXml" ds:itemID="{0F1A34F3-5D50-4AE8-963E-00593ED4ED71}">
  <ds:schemaRefs/>
</ds:datastoreItem>
</file>

<file path=customXml/itemProps15.xml><?xml version="1.0" encoding="utf-8"?>
<ds:datastoreItem xmlns:ds="http://schemas.openxmlformats.org/officeDocument/2006/customXml" ds:itemID="{D81B94A9-82AE-4C60-9445-7613DD8DE27E}">
  <ds:schemaRefs/>
</ds:datastoreItem>
</file>

<file path=customXml/itemProps16.xml><?xml version="1.0" encoding="utf-8"?>
<ds:datastoreItem xmlns:ds="http://schemas.openxmlformats.org/officeDocument/2006/customXml" ds:itemID="{65307C1E-6CBC-4540-8532-0256DE3DD8FA}">
  <ds:schemaRefs/>
</ds:datastoreItem>
</file>

<file path=customXml/itemProps17.xml><?xml version="1.0" encoding="utf-8"?>
<ds:datastoreItem xmlns:ds="http://schemas.openxmlformats.org/officeDocument/2006/customXml" ds:itemID="{09CF130E-CE03-44D1-BF91-70DDEA691A2F}">
  <ds:schemaRefs/>
</ds:datastoreItem>
</file>

<file path=customXml/itemProps18.xml><?xml version="1.0" encoding="utf-8"?>
<ds:datastoreItem xmlns:ds="http://schemas.openxmlformats.org/officeDocument/2006/customXml" ds:itemID="{376F8282-DF7D-421C-A338-BB49D91ADE6E}">
  <ds:schemaRefs/>
</ds:datastoreItem>
</file>

<file path=customXml/itemProps19.xml><?xml version="1.0" encoding="utf-8"?>
<ds:datastoreItem xmlns:ds="http://schemas.openxmlformats.org/officeDocument/2006/customXml" ds:itemID="{03496264-041B-4455-96A9-8B08FD0C205E}">
  <ds:schemaRefs/>
</ds:datastoreItem>
</file>

<file path=customXml/itemProps20.xml><?xml version="1.0" encoding="utf-8"?>
<ds:datastoreItem xmlns:ds="http://schemas.openxmlformats.org/officeDocument/2006/customXml" ds:itemID="{3E7A4AA2-7220-4600-B0D8-33D0575E086A}">
  <ds:schemaRefs/>
</ds:datastoreItem>
</file>

<file path=customXml/itemProps21.xml><?xml version="1.0" encoding="utf-8"?>
<ds:datastoreItem xmlns:ds="http://schemas.openxmlformats.org/officeDocument/2006/customXml" ds:itemID="{2E7F7204-8A42-4CA8-A43F-3083B7DE8376}">
  <ds:schemaRefs/>
</ds:datastoreItem>
</file>

<file path=customXml/itemProps22.xml><?xml version="1.0" encoding="utf-8"?>
<ds:datastoreItem xmlns:ds="http://schemas.openxmlformats.org/officeDocument/2006/customXml" ds:itemID="{24C02E36-BB10-41E7-9C49-8D0ACE0629EC}">
  <ds:schemaRefs/>
</ds:datastoreItem>
</file>

<file path=customXml/itemProps23.xml><?xml version="1.0" encoding="utf-8"?>
<ds:datastoreItem xmlns:ds="http://schemas.openxmlformats.org/officeDocument/2006/customXml" ds:itemID="{041E9AE6-1D53-4DEE-AAFB-3C5466908E6B}">
  <ds:schemaRefs/>
</ds:datastoreItem>
</file>

<file path=customXml/itemProps24.xml><?xml version="1.0" encoding="utf-8"?>
<ds:datastoreItem xmlns:ds="http://schemas.openxmlformats.org/officeDocument/2006/customXml" ds:itemID="{16830CE5-89B4-4BD3-8172-60D3D410A325}">
  <ds:schemaRefs/>
</ds:datastoreItem>
</file>

<file path=customXml/itemProps25.xml><?xml version="1.0" encoding="utf-8"?>
<ds:datastoreItem xmlns:ds="http://schemas.openxmlformats.org/officeDocument/2006/customXml" ds:itemID="{46E3B14D-9849-466D-9B44-60DF82981A8B}">
  <ds:schemaRefs/>
</ds:datastoreItem>
</file>

<file path=customXml/itemProps26.xml><?xml version="1.0" encoding="utf-8"?>
<ds:datastoreItem xmlns:ds="http://schemas.openxmlformats.org/officeDocument/2006/customXml" ds:itemID="{20523D40-ECA3-4AF2-8BE6-B7A77E39BFC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19</vt:i4>
      </vt:variant>
    </vt:vector>
  </HeadingPairs>
  <TitlesOfParts>
    <vt:vector size="24" baseType="lpstr">
      <vt:lpstr>BD</vt:lpstr>
      <vt:lpstr>OPCIONES</vt:lpstr>
      <vt:lpstr>INTER</vt:lpstr>
      <vt:lpstr>DSB</vt:lpstr>
      <vt:lpstr>FORM</vt:lpstr>
      <vt:lpstr>FORM!CUENTA</vt:lpstr>
      <vt:lpstr>CUENTA</vt:lpstr>
      <vt:lpstr>FORM!DIVERSION</vt:lpstr>
      <vt:lpstr>DIVERSION</vt:lpstr>
      <vt:lpstr>FORM!EDUCACION</vt:lpstr>
      <vt:lpstr>EDUCACION</vt:lpstr>
      <vt:lpstr>FORM!EGRESO</vt:lpstr>
      <vt:lpstr>EGRESO</vt:lpstr>
      <vt:lpstr>FORM!GASTOS_FIJOS</vt:lpstr>
      <vt:lpstr>GASTOS_FIJOS</vt:lpstr>
      <vt:lpstr>FORM!GASTOS_PERSONALES</vt:lpstr>
      <vt:lpstr>GASTOS_PERSONALES</vt:lpstr>
      <vt:lpstr>FORM!INGRESO</vt:lpstr>
      <vt:lpstr>INGRESO</vt:lpstr>
      <vt:lpstr>SUBCUENTA</vt:lpstr>
      <vt:lpstr>FORM!TIPO</vt:lpstr>
      <vt:lpstr>TIPO</vt:lpstr>
      <vt:lpstr>FORM!TRABAJO</vt:lpstr>
      <vt:lpstr>TRABAJO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JULIO</dc:creator>
  <cp:lastModifiedBy>JULIO</cp:lastModifiedBy>
  <dcterms:created xsi:type="dcterms:W3CDTF">2025-02-19T23:46:20Z</dcterms:created>
  <dcterms:modified xsi:type="dcterms:W3CDTF">2025-02-22T17:40:54Z</dcterms:modified>
</cp:coreProperties>
</file>